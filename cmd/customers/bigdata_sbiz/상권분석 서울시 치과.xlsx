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FDDA9C6-AF6B-439A-A637-E73B313228EB}" xr6:coauthVersionLast="47" xr6:coauthVersionMax="47" xr10:uidLastSave="{00000000-0000-0000-0000-000000000000}"/>
  <bookViews>
    <workbookView xWindow="-60" yWindow="0" windowWidth="57555" windowHeight="15450" tabRatio="887" firstSheet="6" activeTab="27" xr2:uid="{00000000-000D-0000-FFFF-FFFF00000000}"/>
  </bookViews>
  <sheets>
    <sheet name="구별 요약" sheetId="1" r:id="rId1"/>
    <sheet name="구별 순위" sheetId="3" r:id="rId2"/>
    <sheet name="데이터 현황" sheetId="4" r:id="rId3"/>
    <sheet name="강남구" sheetId="6" r:id="rId4"/>
    <sheet name="강동구" sheetId="5" r:id="rId5"/>
    <sheet name="강북구" sheetId="7" r:id="rId6"/>
    <sheet name="강서구" sheetId="8" r:id="rId7"/>
    <sheet name="관악구" sheetId="9" r:id="rId8"/>
    <sheet name="광진구" sheetId="10" r:id="rId9"/>
    <sheet name="구로구" sheetId="11" r:id="rId10"/>
    <sheet name="금천구" sheetId="12" r:id="rId11"/>
    <sheet name="노원구" sheetId="13" r:id="rId12"/>
    <sheet name="도봉구" sheetId="14" r:id="rId13"/>
    <sheet name="동대문구" sheetId="15" r:id="rId14"/>
    <sheet name="동작구" sheetId="16" r:id="rId15"/>
    <sheet name="마포구" sheetId="17" r:id="rId16"/>
    <sheet name="서대문구" sheetId="18" r:id="rId17"/>
    <sheet name="서초구" sheetId="19" r:id="rId18"/>
    <sheet name="성동구" sheetId="20" r:id="rId19"/>
    <sheet name="성북구" sheetId="21" r:id="rId20"/>
    <sheet name="송파구" sheetId="22" r:id="rId21"/>
    <sheet name="양천구" sheetId="23" r:id="rId22"/>
    <sheet name="영등포구" sheetId="24" r:id="rId23"/>
    <sheet name="용산구" sheetId="25" r:id="rId24"/>
    <sheet name="은평구" sheetId="26" r:id="rId25"/>
    <sheet name="종로구" sheetId="27" r:id="rId26"/>
    <sheet name="중구" sheetId="28" r:id="rId27"/>
    <sheet name="중랑구" sheetId="29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9" l="1"/>
  <c r="F20" i="29"/>
  <c r="E20" i="29"/>
  <c r="D20" i="29"/>
  <c r="C20" i="29"/>
  <c r="G19" i="28"/>
  <c r="F19" i="28"/>
  <c r="E19" i="28"/>
  <c r="D19" i="28"/>
  <c r="C19" i="28"/>
  <c r="G21" i="27"/>
  <c r="F21" i="27"/>
  <c r="E21" i="27"/>
  <c r="D21" i="27"/>
  <c r="C21" i="27"/>
  <c r="G20" i="26"/>
  <c r="F20" i="26"/>
  <c r="E20" i="26"/>
  <c r="D20" i="26"/>
  <c r="C20" i="26"/>
  <c r="G20" i="25"/>
  <c r="F20" i="25"/>
  <c r="E20" i="25"/>
  <c r="D20" i="25"/>
  <c r="C20" i="25"/>
  <c r="G22" i="24"/>
  <c r="F22" i="24"/>
  <c r="E22" i="24"/>
  <c r="D22" i="24"/>
  <c r="C22" i="24"/>
  <c r="G22" i="23"/>
  <c r="F22" i="23"/>
  <c r="E22" i="23"/>
  <c r="D22" i="23"/>
  <c r="C22" i="23"/>
  <c r="G31" i="22"/>
  <c r="F31" i="22"/>
  <c r="E31" i="22"/>
  <c r="D31" i="22"/>
  <c r="C31" i="22"/>
  <c r="G24" i="21"/>
  <c r="F24" i="21"/>
  <c r="E24" i="21"/>
  <c r="D24" i="21"/>
  <c r="C24" i="21"/>
  <c r="G21" i="20"/>
  <c r="F21" i="20"/>
  <c r="E21" i="20"/>
  <c r="D21" i="20"/>
  <c r="C21" i="20"/>
  <c r="G22" i="19"/>
  <c r="F22" i="19"/>
  <c r="E22" i="19"/>
  <c r="D22" i="19"/>
  <c r="C22" i="19"/>
  <c r="G18" i="18"/>
  <c r="F18" i="18"/>
  <c r="E18" i="18"/>
  <c r="D18" i="18"/>
  <c r="C18" i="18"/>
  <c r="G20" i="17"/>
  <c r="F20" i="17"/>
  <c r="E20" i="17"/>
  <c r="D20" i="17"/>
  <c r="C20" i="17"/>
  <c r="G19" i="16"/>
  <c r="F19" i="16"/>
  <c r="E19" i="16"/>
  <c r="D19" i="16"/>
  <c r="C19" i="16"/>
  <c r="G19" i="15"/>
  <c r="F19" i="15"/>
  <c r="E19" i="15"/>
  <c r="D19" i="15"/>
  <c r="C19" i="15"/>
  <c r="G18" i="14"/>
  <c r="F18" i="14"/>
  <c r="E18" i="14"/>
  <c r="D18" i="14"/>
  <c r="C18" i="14"/>
  <c r="G23" i="13"/>
  <c r="F23" i="13"/>
  <c r="E23" i="13"/>
  <c r="D23" i="13"/>
  <c r="C23" i="13"/>
  <c r="G14" i="12"/>
  <c r="F14" i="12"/>
  <c r="E14" i="12"/>
  <c r="D14" i="12"/>
  <c r="C14" i="12"/>
  <c r="G20" i="11"/>
  <c r="F20" i="11"/>
  <c r="E20" i="11"/>
  <c r="D20" i="11"/>
  <c r="C20" i="11"/>
  <c r="G19" i="10"/>
  <c r="F19" i="10"/>
  <c r="E19" i="10"/>
  <c r="D19" i="10"/>
  <c r="C19" i="10"/>
  <c r="G25" i="9"/>
  <c r="F25" i="9"/>
  <c r="E25" i="9"/>
  <c r="D25" i="9"/>
  <c r="C25" i="9"/>
  <c r="G24" i="8"/>
  <c r="F24" i="8"/>
  <c r="E24" i="8"/>
  <c r="D24" i="8"/>
  <c r="C24" i="8"/>
  <c r="G17" i="7"/>
  <c r="F17" i="7"/>
  <c r="E17" i="7"/>
  <c r="D17" i="7"/>
  <c r="C17" i="7"/>
  <c r="G26" i="6"/>
  <c r="F26" i="6"/>
  <c r="E26" i="6"/>
  <c r="D26" i="6"/>
  <c r="C26" i="6"/>
  <c r="G23" i="5"/>
  <c r="F23" i="5"/>
  <c r="E23" i="5"/>
  <c r="D23" i="5"/>
  <c r="C23" i="5"/>
  <c r="H30" i="1"/>
  <c r="G30" i="1"/>
  <c r="F30" i="1"/>
  <c r="E30" i="1"/>
  <c r="D30" i="1"/>
  <c r="C30" i="1"/>
</calcChain>
</file>

<file path=xl/sharedStrings.xml><?xml version="1.0" encoding="utf-8"?>
<sst xmlns="http://schemas.openxmlformats.org/spreadsheetml/2006/main" count="823" uniqueCount="525">
  <si>
    <t>서울특별시 25개구 상권 현황 요약</t>
  </si>
  <si>
    <t>번호</t>
  </si>
  <si>
    <t>구</t>
  </si>
  <si>
    <t>행정동 수</t>
  </si>
  <si>
    <t>유동인구</t>
  </si>
  <si>
    <t>직장인구</t>
  </si>
  <si>
    <t>주거인구</t>
  </si>
  <si>
    <t>업소수</t>
  </si>
  <si>
    <t>치과수</t>
  </si>
  <si>
    <t>치과 비율
(서울 전체%)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</si>
  <si>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</si>
  <si>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</si>
  <si>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</si>
  <si>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</si>
  <si>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</si>
  <si>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</si>
  <si>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</si>
  <si>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</si>
  <si>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</si>
  <si>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</si>
  <si>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</si>
  <si>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</si>
  <si>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</si>
  <si>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</si>
  <si>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</si>
  <si>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</si>
  <si>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</si>
  <si>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</si>
  <si>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</si>
  <si>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</si>
  <si>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</si>
  <si>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</si>
  <si>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</si>
  <si>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</si>
  <si>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</si>
  <si>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서울 전체</t>
  </si>
  <si>
    <t>비고</t>
  </si>
  <si>
    <t>신사동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</si>
  <si>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</si>
  <si>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</si>
  <si>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</si>
  <si>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</si>
  <si>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</si>
  <si>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</si>
  <si>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</si>
  <si>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</si>
  <si>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</si>
  <si>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</si>
  <si>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</si>
  <si>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</si>
  <si>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</si>
  <si>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</si>
  <si>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</si>
  <si>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</si>
  <si>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</si>
  <si>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일원본동</t>
  </si>
  <si>
    <t>일원1동</t>
  </si>
  <si>
    <t>수서동</t>
  </si>
  <si>
    <t>세곡동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</si>
  <si>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</si>
  <si>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</si>
  <si>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</si>
  <si>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</si>
  <si>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</si>
  <si>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</si>
  <si>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</si>
  <si>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</si>
  <si>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</si>
  <si>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중계2,3동</t>
  </si>
  <si>
    <t>중계4동</t>
  </si>
  <si>
    <t>상계1동</t>
  </si>
  <si>
    <t>상계2동</t>
  </si>
  <si>
    <t>상계3,4동</t>
  </si>
  <si>
    <t>상계5동</t>
  </si>
  <si>
    <t>상계6,7동</t>
  </si>
  <si>
    <t>상계8동</t>
  </si>
  <si>
    <t>상계9동</t>
  </si>
  <si>
    <t>상계10동</t>
  </si>
  <si>
    <t>충현동</t>
  </si>
  <si>
    <t>천연동</t>
  </si>
  <si>
    <t>북아현동</t>
  </si>
  <si>
    <t>신촌동</t>
  </si>
  <si>
    <t>연희동</t>
  </si>
  <si>
    <t>홍제1동</t>
  </si>
  <si>
    <t>홍제2동</t>
  </si>
  <si>
    <t>홍제3동</t>
  </si>
  <si>
    <t>홍은1동</t>
  </si>
  <si>
    <t>홍은2동</t>
  </si>
  <si>
    <t>남가좌1동</t>
  </si>
  <si>
    <t>남가좌2동</t>
  </si>
  <si>
    <t>북가좌1동</t>
  </si>
  <si>
    <t>북가좌2동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</si>
  <si>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</si>
  <si>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</si>
  <si>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</si>
  <si>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</si>
  <si>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</si>
  <si>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</si>
  <si>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</si>
  <si>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</si>
  <si>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</si>
  <si>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</si>
  <si>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</si>
  <si>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</si>
  <si>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</si>
  <si>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</si>
  <si>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</si>
  <si>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</si>
  <si>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</si>
  <si>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</si>
  <si>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</si>
  <si>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</si>
  <si>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</si>
  <si>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</si>
  <si>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</si>
  <si>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</si>
  <si>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</si>
  <si>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</si>
  <si>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</si>
  <si>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</si>
  <si>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</si>
  <si>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</si>
  <si>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</si>
  <si>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</si>
  <si>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</si>
  <si>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</si>
  <si>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</si>
  <si>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</si>
  <si>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</si>
  <si>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</si>
  <si>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</si>
  <si>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</si>
  <si>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</si>
  <si>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</si>
  <si>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</si>
  <si>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</si>
  <si>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</si>
  <si>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</si>
  <si>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</si>
  <si>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</si>
  <si>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</si>
  <si>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</si>
  <si>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</si>
  <si>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</si>
  <si>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</si>
  <si>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</si>
  <si>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</si>
  <si>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</si>
  <si>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</si>
  <si>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</si>
  <si>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</si>
  <si>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</si>
  <si>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</si>
  <si>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</si>
  <si>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</si>
  <si>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</si>
  <si>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</si>
  <si>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</si>
  <si>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</si>
  <si>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</si>
  <si>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</si>
  <si>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</si>
  <si>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</si>
  <si>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</si>
  <si>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</si>
  <si>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</si>
  <si>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</si>
  <si>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</si>
  <si>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</si>
  <si>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</si>
  <si>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</si>
  <si>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</si>
  <si>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</si>
  <si>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</si>
  <si>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</si>
  <si>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</si>
  <si>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</si>
  <si>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</si>
  <si>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</si>
  <si>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</si>
  <si>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</si>
  <si>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</si>
  <si>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</si>
  <si>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</si>
  <si>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</si>
  <si>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</si>
  <si>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</si>
  <si>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</si>
  <si>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</si>
  <si>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</si>
  <si>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</si>
  <si>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</si>
  <si>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</si>
  <si>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</si>
  <si>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</si>
  <si>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</si>
  <si>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</si>
  <si>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</si>
  <si>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</si>
  <si>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</si>
  <si>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</si>
  <si>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</si>
  <si>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</si>
  <si>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</si>
  <si>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</si>
  <si>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</si>
  <si>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</si>
  <si>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</si>
  <si>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</si>
  <si>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</si>
  <si>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</si>
  <si>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</si>
  <si>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</si>
  <si>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</si>
  <si>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</si>
  <si>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</si>
  <si>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</si>
  <si>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</si>
  <si>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</si>
  <si>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</si>
  <si>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</si>
  <si>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</si>
  <si>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</si>
  <si>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</si>
  <si>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</si>
  <si>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</si>
  <si>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</si>
  <si>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</si>
  <si>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</si>
  <si>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</si>
  <si>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</si>
  <si>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</si>
  <si>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</si>
  <si>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</si>
  <si>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</si>
  <si>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</si>
  <si>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</si>
  <si>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</si>
  <si>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</si>
  <si>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</si>
  <si>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</si>
  <si>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</si>
  <si>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</si>
  <si>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</si>
  <si>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</si>
  <si>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</si>
  <si>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</si>
  <si>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금호2,3가동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</si>
  <si>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</si>
  <si>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</si>
  <si>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</si>
  <si>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</si>
  <si>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</si>
  <si>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</si>
  <si>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</si>
  <si>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</si>
  <si>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</si>
  <si>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</si>
  <si>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</si>
  <si>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</si>
  <si>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</si>
  <si>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</si>
  <si>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</si>
  <si>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</si>
  <si>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</si>
  <si>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</si>
  <si>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</si>
  <si>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</si>
  <si>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</si>
  <si>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</si>
  <si>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</si>
  <si>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</si>
  <si>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면목본동</t>
  </si>
  <si>
    <t>면목2동</t>
  </si>
  <si>
    <t>면목3.8동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</si>
  <si>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</si>
  <si>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</si>
  <si>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</si>
  <si>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</si>
  <si>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</si>
  <si>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</si>
  <si>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</si>
  <si>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</si>
  <si>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</si>
  <si>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</si>
  <si>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</si>
  <si>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</si>
  <si>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</si>
  <si>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염창동</t>
  </si>
  <si>
    <t>등촌1동</t>
  </si>
  <si>
    <t>등촌2동</t>
  </si>
  <si>
    <t>등촌3동</t>
  </si>
  <si>
    <t>화곡본동</t>
  </si>
  <si>
    <t>화곡1동</t>
  </si>
  <si>
    <t>화곡2동</t>
  </si>
  <si>
    <t>화곡3동</t>
  </si>
  <si>
    <t>화곡4동</t>
  </si>
  <si>
    <t>화곡6동</t>
  </si>
  <si>
    <t>화곡8동</t>
  </si>
  <si>
    <t>우장산동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</si>
  <si>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</si>
  <si>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</si>
  <si>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</si>
  <si>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</si>
  <si>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</si>
  <si>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</si>
  <si>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</si>
  <si>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</si>
  <si>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</si>
  <si>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</si>
  <si>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</si>
  <si>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</si>
  <si>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</si>
  <si>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</si>
  <si>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</si>
  <si>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</si>
  <si>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</si>
  <si>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</si>
  <si>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</si>
  <si>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</si>
  <si>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</si>
  <si>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</si>
  <si>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</si>
  <si>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</si>
  <si>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</si>
  <si>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</si>
  <si>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</si>
  <si>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</si>
  <si>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</si>
  <si>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</si>
  <si>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</si>
  <si>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</si>
  <si>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</si>
  <si>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</si>
  <si>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</si>
  <si>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</si>
  <si>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</si>
  <si>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</si>
  <si>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</si>
  <si>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</si>
  <si>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</si>
  <si>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</si>
  <si>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</si>
  <si>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</si>
  <si>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</si>
  <si>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</si>
  <si>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</si>
  <si>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</si>
  <si>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</si>
  <si>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</si>
  <si>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</si>
  <si>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</si>
  <si>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</si>
  <si>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</si>
  <si>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</si>
  <si>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</si>
  <si>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</si>
  <si>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</si>
  <si>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</si>
  <si>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은천동</t>
  </si>
  <si>
    <t>성현동</t>
  </si>
  <si>
    <t>청룡동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</si>
  <si>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</si>
  <si>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</si>
  <si>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</si>
  <si>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</si>
  <si>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</si>
  <si>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</si>
  <si>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</si>
  <si>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</si>
  <si>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</si>
  <si>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</si>
  <si>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난곡동</t>
  </si>
  <si>
    <t>신림동</t>
  </si>
  <si>
    <t>삼성동</t>
  </si>
  <si>
    <t>난향동</t>
  </si>
  <si>
    <t>조원동</t>
  </si>
  <si>
    <t>대학동</t>
  </si>
  <si>
    <t>미성동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</si>
  <si>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</si>
  <si>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</si>
  <si>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</si>
  <si>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</si>
  <si>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</si>
  <si>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</si>
  <si>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</si>
  <si>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</si>
  <si>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</si>
  <si>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</si>
  <si>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</si>
  <si>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</si>
  <si>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</si>
  <si>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</si>
  <si>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</si>
  <si>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</si>
  <si>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</si>
  <si>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</si>
  <si>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</si>
  <si>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</si>
  <si>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</si>
  <si>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</si>
  <si>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</si>
  <si>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</si>
  <si>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</si>
  <si>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</si>
  <si>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</si>
  <si>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</si>
  <si>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</si>
  <si>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</si>
  <si>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</si>
  <si>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</si>
  <si>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</si>
  <si>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</si>
  <si>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</si>
  <si>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</si>
  <si>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</si>
  <si>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</si>
  <si>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</si>
  <si>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</si>
  <si>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</si>
  <si>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</si>
  <si>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</si>
  <si>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</si>
  <si>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</si>
  <si>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</si>
  <si>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</si>
  <si>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</si>
  <si>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</si>
  <si>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</si>
  <si>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</si>
  <si>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</si>
  <si>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</si>
  <si>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</si>
  <si>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</si>
  <si>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</si>
  <si>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화양동</t>
  </si>
  <si>
    <t>군자동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</si>
  <si>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</si>
  <si>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</si>
  <si>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</si>
  <si>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</si>
  <si>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</si>
  <si>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</si>
  <si>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</si>
  <si>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</si>
  <si>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</si>
  <si>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</si>
  <si>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</si>
  <si>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</si>
  <si>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</si>
  <si>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</si>
  <si>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항동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</si>
  <si>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</si>
  <si>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</si>
  <si>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</si>
  <si>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</si>
  <si>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</si>
  <si>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</si>
  <si>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</si>
  <si>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</si>
  <si>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</si>
  <si>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</si>
  <si>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</si>
  <si>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서울시 25개구 상권 지표 순위 비교</t>
  </si>
  <si>
    <t>※ 순위는 해당 지표 기준 내림차순 (1위 = 가장 높음)  |  출처: 소상공인365 직접 조사</t>
  </si>
  <si>
    <t>유동순위</t>
  </si>
  <si>
    <t>직장순위</t>
  </si>
  <si>
    <t>주거순위</t>
  </si>
  <si>
    <t>업소순위</t>
  </si>
  <si>
    <t>■ 금색 = 1위   ■ 은색 = 2위   ■ 동색 = 3위</t>
  </si>
  <si>
    <t>데이터 현황 및 안내</t>
  </si>
  <si>
    <t>항목</t>
  </si>
  <si>
    <t>포함 여부</t>
  </si>
  <si>
    <t>유동인구 (구별)</t>
  </si>
  <si>
    <t>✅ 실제 데이터</t>
  </si>
  <si>
    <t>소상공인365 직접 조사</t>
  </si>
  <si>
    <t>직장인구 (구별)</t>
  </si>
  <si>
    <t>주거인구 (구별)</t>
  </si>
  <si>
    <t>업소수 (구별)</t>
  </si>
  <si>
    <t>치과수 (구별)</t>
  </si>
  <si>
    <t>피부/비뇨기과수</t>
  </si>
  <si>
    <t>❌ 원본 미포함</t>
  </si>
  <si>
    <t>업로드 파일에 해당 데이터 없음</t>
  </si>
  <si>
    <t>성형외과수</t>
  </si>
  <si>
    <t>내과/소아과수</t>
  </si>
  <si>
    <t>산부인과수</t>
  </si>
  <si>
    <t>안과수</t>
  </si>
  <si>
    <t>이비인후과수</t>
  </si>
  <si>
    <t>동별 세부 데이터</t>
  </si>
  <si>
    <t>구별 합계만 있음. 동별 수치는 소상공인365에서 별도 조회 필요</t>
  </si>
  <si>
    <t>행정동 목록</t>
  </si>
  <si>
    <t>427개 행정동 목록 (Sheet14 기준)</t>
  </si>
  <si>
    <t>💡 미포함 데이터는 소상공인365 → 핫플레이스 GIS → 동별 조회에서 직접 수집 후 이 파일에 추가하시면 됩니다.</t>
  </si>
  <si>
    <t>동</t>
    <phoneticPr fontId="12" type="noConversion"/>
  </si>
  <si>
    <t>전체</t>
    <phoneticPr fontId="12" type="noConversion"/>
  </si>
  <si>
    <t>서울특별시 강남구 상권 현황 요약</t>
    <phoneticPr fontId="12" type="noConversion"/>
  </si>
  <si>
    <t>치과 비율
(전체%)</t>
    <phoneticPr fontId="12" type="noConversion"/>
  </si>
  <si>
    <t>출처: 소상공인365(bigdata.sbiz.or.kr) — 직접 조사 데이터</t>
    <phoneticPr fontId="12" type="noConversion"/>
  </si>
  <si>
    <t>노원구</t>
    <phoneticPr fontId="12" type="noConversion"/>
  </si>
  <si>
    <t>구별 순위</t>
    <phoneticPr fontId="12" type="noConversion"/>
  </si>
  <si>
    <t>데이터 현황</t>
    <phoneticPr fontId="12" type="noConversion"/>
  </si>
  <si>
    <t>서울특별시 강동구 상권 현황 요약</t>
    <phoneticPr fontId="12" type="noConversion"/>
  </si>
  <si>
    <t>서울특별시 강북구 상권 현황 요약</t>
    <phoneticPr fontId="12" type="noConversion"/>
  </si>
  <si>
    <t>서울특별시 강서구 상권 현황 요약</t>
    <phoneticPr fontId="12" type="noConversion"/>
  </si>
  <si>
    <t>서울특별시 관악구 상권 현황 요약</t>
    <phoneticPr fontId="12" type="noConversion"/>
  </si>
  <si>
    <t>서울특별시 광진구 상권 현황 요약</t>
    <phoneticPr fontId="12" type="noConversion"/>
  </si>
  <si>
    <t>서울특별시 구로구 상권 현황 요약</t>
    <phoneticPr fontId="12" type="noConversion"/>
  </si>
  <si>
    <t>서울특별시 금천구 상권 현황 요약</t>
    <phoneticPr fontId="12" type="noConversion"/>
  </si>
  <si>
    <t>서울특별시 중랑구 상권 현황 요약</t>
    <phoneticPr fontId="12" type="noConversion"/>
  </si>
  <si>
    <t>서울특별시 노원구 상권 현황 요약</t>
    <phoneticPr fontId="12" type="noConversion"/>
  </si>
  <si>
    <t>서울특별시 도봉구 상권 현황 요약</t>
    <phoneticPr fontId="12" type="noConversion"/>
  </si>
  <si>
    <t>서울특별시 동대문구 상권 현황 요약</t>
    <phoneticPr fontId="12" type="noConversion"/>
  </si>
  <si>
    <t>서울특별시 동작구 상권 현황 요약</t>
    <phoneticPr fontId="12" type="noConversion"/>
  </si>
  <si>
    <t>서울특별시 마포구 상권 현황 요약</t>
    <phoneticPr fontId="12" type="noConversion"/>
  </si>
  <si>
    <t>서울특별시 서대문구 상권 현황 요약</t>
    <phoneticPr fontId="12" type="noConversion"/>
  </si>
  <si>
    <t>서울특별시 서초구 상권 현황 요약</t>
    <phoneticPr fontId="12" type="noConversion"/>
  </si>
  <si>
    <t>서울특별시 성동구 상권 현황 요약</t>
    <phoneticPr fontId="12" type="noConversion"/>
  </si>
  <si>
    <t>서울특별시 성북구 상권 현황 요약</t>
    <phoneticPr fontId="12" type="noConversion"/>
  </si>
  <si>
    <t>서울특별시 송파구 상권 현황 요약</t>
    <phoneticPr fontId="12" type="noConversion"/>
  </si>
  <si>
    <t>서울특별시 양천구 상권 현황 요약</t>
    <phoneticPr fontId="12" type="noConversion"/>
  </si>
  <si>
    <t>서울특별시 영등포구 상권 현황 요약</t>
    <phoneticPr fontId="12" type="noConversion"/>
  </si>
  <si>
    <t>서울특별시 용산구 상권 현황 요약</t>
    <phoneticPr fontId="12" type="noConversion"/>
  </si>
  <si>
    <t>서울특별시 은평구 상권 현황 요약</t>
    <phoneticPr fontId="12" type="noConversion"/>
  </si>
  <si>
    <t>서울특별시 종로구 상권 현황 요약</t>
    <phoneticPr fontId="12" type="noConversion"/>
  </si>
  <si>
    <t>서울특별시 중구 상권 현황 요약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</si>
</sst>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9"/>
      <color theme="10"/>
      <name val="맑은 고딕"/>
      <family val="3"/>
      <charset val="129"/>
      <scheme val="minor"/>
    </font>
    <font>
      <i/>
      <u/>
      <sz val="9"/>
      <color theme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D700"/>
      </patternFill>
    </fill>
    <fill>
      <patternFill patternType="solid">
        <fgColor rgb="FFE8E8E8"/>
      </patternFill>
    </fill>
    <fill>
      <patternFill patternType="solid">
        <fgColor rgb="FFD4874C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theme="3" tint="0.79998168889431442"/>
      </bottom>
      <diagonal/>
    </border>
    <border>
      <left/>
      <right style="thin">
        <color rgb="FFBDD7EE"/>
      </right>
      <top style="thin">
        <color rgb="FFBDD7EE"/>
      </top>
      <bottom style="thin">
        <color theme="3" tint="0.79998168889431442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10" fontId="6" fillId="6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0" fillId="0" borderId="3" xfId="0" applyBorder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workbookViewId="0">
      <pane ySplit="4" topLeftCell="A5" activePane="bottomLeft" state="frozen"/>
      <selection pane="bottomLeft" activeCell="L7" sqref="L7"/>
    </sheetView>
  </sheetViews>
  <sheetFormatPr defaultRowHeight="16.5" x14ac:dyDescent="0.3"/>
  <cols>
    <col min="1" max="1" width="5" customWidth="1"/>
    <col min="2" max="2" width="10" customWidth="1"/>
    <col min="3" max="3" width="9" customWidth="1"/>
    <col min="4" max="5" width="13" customWidth="1"/>
    <col min="6" max="6" width="12" customWidth="1"/>
    <col min="7" max="7" width="10" customWidth="1"/>
    <col min="8" max="8" width="8" customWidth="1"/>
    <col min="9" max="9" width="11" customWidth="1"/>
  </cols>
  <sheetData>
    <row r="1" spans="1:9" ht="32.1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  <c r="I2" s="24"/>
    </row>
    <row r="3" spans="1:9" ht="15.95" customHeight="1" x14ac:dyDescent="0.3">
      <c r="A3" s="19"/>
      <c r="H3" s="22" t="s">
        <v>499</v>
      </c>
      <c r="I3" s="22" t="s">
        <v>500</v>
      </c>
    </row>
    <row r="4" spans="1:9" ht="27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7.100000000000001" customHeight="1" x14ac:dyDescent="0.3">
      <c r="A5" s="2">
        <v>1</v>
      </c>
      <c r="B5" s="20" t="s">
        <v>10</v>
      </c>
      <c r="C5" s="4">
        <v>22</v>
      </c>
      <c r="D5" s="4">
        <v>4356668</v>
      </c>
      <c r="E5" s="4">
        <v>1223035</v>
      </c>
      <c r="F5" s="4">
        <v>556429</v>
      </c>
      <c r="G5" s="4">
        <v>73088</v>
      </c>
      <c r="H5" s="4">
        <v>523</v>
      </c>
      <c r="I5" s="5">
        <v>0.1102677630191862</v>
      </c>
    </row>
    <row r="6" spans="1:9" ht="17.100000000000001" customHeight="1" x14ac:dyDescent="0.3">
      <c r="A6" s="6">
        <v>2</v>
      </c>
      <c r="B6" s="21" t="s">
        <v>11</v>
      </c>
      <c r="C6" s="8">
        <v>19</v>
      </c>
      <c r="D6" s="8">
        <v>1757004</v>
      </c>
      <c r="E6" s="8">
        <v>244368</v>
      </c>
      <c r="F6" s="8">
        <v>498673</v>
      </c>
      <c r="G6" s="8">
        <v>23051</v>
      </c>
      <c r="H6" s="8">
        <v>233</v>
      </c>
      <c r="I6" s="9">
        <v>4.9125026354627871E-2</v>
      </c>
    </row>
    <row r="7" spans="1:9" ht="17.100000000000001" customHeight="1" x14ac:dyDescent="0.3">
      <c r="A7" s="2">
        <v>3</v>
      </c>
      <c r="B7" s="20" t="s">
        <v>12</v>
      </c>
      <c r="C7" s="4">
        <v>13</v>
      </c>
      <c r="D7" s="4">
        <v>859146</v>
      </c>
      <c r="E7" s="4">
        <v>129687</v>
      </c>
      <c r="F7" s="4">
        <v>280813</v>
      </c>
      <c r="G7" s="4">
        <v>13797</v>
      </c>
      <c r="H7" s="4">
        <v>123</v>
      </c>
      <c r="I7" s="5">
        <v>2.593295382669197E-2</v>
      </c>
    </row>
    <row r="8" spans="1:9" ht="17.100000000000001" customHeight="1" x14ac:dyDescent="0.3">
      <c r="A8" s="6">
        <v>4</v>
      </c>
      <c r="B8" s="21" t="s">
        <v>13</v>
      </c>
      <c r="C8" s="8">
        <v>20</v>
      </c>
      <c r="D8" s="8">
        <v>2570020</v>
      </c>
      <c r="E8" s="8">
        <v>404308</v>
      </c>
      <c r="F8" s="8">
        <v>551848</v>
      </c>
      <c r="G8" s="8">
        <v>30653</v>
      </c>
      <c r="H8" s="8">
        <v>237</v>
      </c>
      <c r="I8" s="9">
        <v>4.9968374446552798E-2</v>
      </c>
    </row>
    <row r="9" spans="1:9" ht="17.100000000000001" customHeight="1" x14ac:dyDescent="0.3">
      <c r="A9" s="2">
        <v>5</v>
      </c>
      <c r="B9" s="20" t="s">
        <v>14</v>
      </c>
      <c r="C9" s="4">
        <v>21</v>
      </c>
      <c r="D9" s="4">
        <v>1368941</v>
      </c>
      <c r="E9" s="4">
        <v>211563</v>
      </c>
      <c r="F9" s="4">
        <v>479285</v>
      </c>
      <c r="G9" s="4">
        <v>21867</v>
      </c>
      <c r="H9" s="4">
        <v>198</v>
      </c>
      <c r="I9" s="5">
        <v>4.1745730550284632E-2</v>
      </c>
    </row>
    <row r="10" spans="1:9" ht="17.100000000000001" customHeight="1" x14ac:dyDescent="0.3">
      <c r="A10" s="6">
        <v>6</v>
      </c>
      <c r="B10" s="21" t="s">
        <v>15</v>
      </c>
      <c r="C10" s="8">
        <v>15</v>
      </c>
      <c r="D10" s="8">
        <v>1456620</v>
      </c>
      <c r="E10" s="8">
        <v>207166</v>
      </c>
      <c r="F10" s="8">
        <v>332833</v>
      </c>
      <c r="G10" s="8">
        <v>20275</v>
      </c>
      <c r="H10" s="8">
        <v>149</v>
      </c>
      <c r="I10" s="9">
        <v>3.1414716424204091E-2</v>
      </c>
    </row>
    <row r="11" spans="1:9" ht="17.100000000000001" customHeight="1" x14ac:dyDescent="0.3">
      <c r="A11" s="2">
        <v>7</v>
      </c>
      <c r="B11" s="20" t="s">
        <v>16</v>
      </c>
      <c r="C11" s="4">
        <v>16</v>
      </c>
      <c r="D11" s="4">
        <v>1831283</v>
      </c>
      <c r="E11" s="4">
        <v>326291</v>
      </c>
      <c r="F11" s="4">
        <v>385786</v>
      </c>
      <c r="G11" s="4">
        <v>21236</v>
      </c>
      <c r="H11" s="4">
        <v>167</v>
      </c>
      <c r="I11" s="5">
        <v>3.5209782837866327E-2</v>
      </c>
    </row>
    <row r="12" spans="1:9" ht="17.100000000000001" customHeight="1" x14ac:dyDescent="0.3">
      <c r="A12" s="6">
        <v>8</v>
      </c>
      <c r="B12" s="21" t="s">
        <v>17</v>
      </c>
      <c r="C12" s="8">
        <v>10</v>
      </c>
      <c r="D12" s="8">
        <v>1160008</v>
      </c>
      <c r="E12" s="8">
        <v>327580</v>
      </c>
      <c r="F12" s="8">
        <v>223771</v>
      </c>
      <c r="G12" s="8">
        <v>19460</v>
      </c>
      <c r="H12" s="8">
        <v>104</v>
      </c>
      <c r="I12" s="9">
        <v>2.192705039004849E-2</v>
      </c>
    </row>
    <row r="13" spans="1:9" ht="17.100000000000001" customHeight="1" x14ac:dyDescent="0.3">
      <c r="A13" s="2">
        <v>9</v>
      </c>
      <c r="B13" s="20" t="s">
        <v>498</v>
      </c>
      <c r="C13" s="4">
        <v>19</v>
      </c>
      <c r="D13" s="4">
        <v>1774683</v>
      </c>
      <c r="E13" s="4">
        <v>206147</v>
      </c>
      <c r="F13" s="4">
        <v>486173</v>
      </c>
      <c r="G13" s="4">
        <v>19743</v>
      </c>
      <c r="H13" s="4">
        <v>199</v>
      </c>
      <c r="I13" s="5">
        <v>4.1956567573265872E-2</v>
      </c>
    </row>
    <row r="14" spans="1:9" ht="17.100000000000001" customHeight="1" x14ac:dyDescent="0.3">
      <c r="A14" s="6">
        <v>10</v>
      </c>
      <c r="B14" s="21" t="s">
        <v>19</v>
      </c>
      <c r="C14" s="8">
        <v>14</v>
      </c>
      <c r="D14" s="8">
        <v>723138</v>
      </c>
      <c r="E14" s="8">
        <v>118204</v>
      </c>
      <c r="F14" s="8">
        <v>301161</v>
      </c>
      <c r="G14" s="8">
        <v>12405</v>
      </c>
      <c r="H14" s="8">
        <v>102</v>
      </c>
      <c r="I14" s="9">
        <v>2.150537634408602E-2</v>
      </c>
    </row>
    <row r="15" spans="1:9" ht="17.100000000000001" customHeight="1" x14ac:dyDescent="0.3">
      <c r="A15" s="2">
        <v>11</v>
      </c>
      <c r="B15" s="20" t="s">
        <v>20</v>
      </c>
      <c r="C15" s="4">
        <v>15</v>
      </c>
      <c r="D15" s="4">
        <v>1315688</v>
      </c>
      <c r="E15" s="4">
        <v>203875</v>
      </c>
      <c r="F15" s="4">
        <v>343695</v>
      </c>
      <c r="G15" s="4">
        <v>19238</v>
      </c>
      <c r="H15" s="4">
        <v>160</v>
      </c>
      <c r="I15" s="5">
        <v>3.3733923676997679E-2</v>
      </c>
    </row>
    <row r="16" spans="1:9" ht="17.100000000000001" customHeight="1" x14ac:dyDescent="0.3">
      <c r="A16" s="6">
        <v>12</v>
      </c>
      <c r="B16" s="21" t="s">
        <v>21</v>
      </c>
      <c r="C16" s="8">
        <v>15</v>
      </c>
      <c r="D16" s="8">
        <v>1520409</v>
      </c>
      <c r="E16" s="8">
        <v>176191</v>
      </c>
      <c r="F16" s="8">
        <v>374200</v>
      </c>
      <c r="G16" s="8">
        <v>16449</v>
      </c>
      <c r="H16" s="8">
        <v>168</v>
      </c>
      <c r="I16" s="9">
        <v>3.5420619860847567E-2</v>
      </c>
    </row>
    <row r="17" spans="1:9" ht="17.100000000000001" customHeight="1" x14ac:dyDescent="0.3">
      <c r="A17" s="2">
        <v>13</v>
      </c>
      <c r="B17" s="20" t="s">
        <v>22</v>
      </c>
      <c r="C17" s="4">
        <v>16</v>
      </c>
      <c r="D17" s="4">
        <v>2073024</v>
      </c>
      <c r="E17" s="4">
        <v>420777</v>
      </c>
      <c r="F17" s="4">
        <v>359125</v>
      </c>
      <c r="G17" s="4">
        <v>34491</v>
      </c>
      <c r="H17" s="4">
        <v>188</v>
      </c>
      <c r="I17" s="5">
        <v>3.9637360320472277E-2</v>
      </c>
    </row>
    <row r="18" spans="1:9" ht="17.100000000000001" customHeight="1" x14ac:dyDescent="0.3">
      <c r="A18" s="6">
        <v>14</v>
      </c>
      <c r="B18" s="21" t="s">
        <v>23</v>
      </c>
      <c r="C18" s="8">
        <v>14</v>
      </c>
      <c r="D18" s="8">
        <v>1116644</v>
      </c>
      <c r="E18" s="8">
        <v>182383</v>
      </c>
      <c r="F18" s="8">
        <v>301097</v>
      </c>
      <c r="G18" s="8">
        <v>15850</v>
      </c>
      <c r="H18" s="8">
        <v>128</v>
      </c>
      <c r="I18" s="9">
        <v>2.6987138941598141E-2</v>
      </c>
    </row>
    <row r="19" spans="1:9" ht="17.100000000000001" customHeight="1" x14ac:dyDescent="0.3">
      <c r="A19" s="2">
        <v>15</v>
      </c>
      <c r="B19" s="20" t="s">
        <v>24</v>
      </c>
      <c r="C19" s="4">
        <v>18</v>
      </c>
      <c r="D19" s="4">
        <v>3622231</v>
      </c>
      <c r="E19" s="4">
        <v>697658</v>
      </c>
      <c r="F19" s="4">
        <v>409387</v>
      </c>
      <c r="G19" s="4">
        <v>43972</v>
      </c>
      <c r="H19" s="4">
        <v>309</v>
      </c>
      <c r="I19" s="5">
        <v>6.5148640101201777E-2</v>
      </c>
    </row>
    <row r="20" spans="1:9" ht="17.100000000000001" customHeight="1" x14ac:dyDescent="0.3">
      <c r="A20" s="6">
        <v>16</v>
      </c>
      <c r="B20" s="21" t="s">
        <v>25</v>
      </c>
      <c r="C20" s="8">
        <v>17</v>
      </c>
      <c r="D20" s="8">
        <v>1550390</v>
      </c>
      <c r="E20" s="8">
        <v>293523</v>
      </c>
      <c r="F20" s="8">
        <v>272979</v>
      </c>
      <c r="G20" s="8">
        <v>19936</v>
      </c>
      <c r="H20" s="8">
        <v>123</v>
      </c>
      <c r="I20" s="9">
        <v>2.593295382669197E-2</v>
      </c>
    </row>
    <row r="21" spans="1:9" ht="17.100000000000001" customHeight="1" x14ac:dyDescent="0.3">
      <c r="A21" s="2">
        <v>17</v>
      </c>
      <c r="B21" s="20" t="s">
        <v>26</v>
      </c>
      <c r="C21" s="4">
        <v>20</v>
      </c>
      <c r="D21" s="4">
        <v>1471155</v>
      </c>
      <c r="E21" s="4">
        <v>193757</v>
      </c>
      <c r="F21" s="4">
        <v>424247</v>
      </c>
      <c r="G21" s="4">
        <v>18433</v>
      </c>
      <c r="H21" s="4">
        <v>145</v>
      </c>
      <c r="I21" s="5">
        <v>3.057136833227915E-2</v>
      </c>
    </row>
    <row r="22" spans="1:9" ht="17.100000000000001" customHeight="1" x14ac:dyDescent="0.3">
      <c r="A22" s="6">
        <v>18</v>
      </c>
      <c r="B22" s="21" t="s">
        <v>27</v>
      </c>
      <c r="C22" s="8">
        <v>27</v>
      </c>
      <c r="D22" s="8">
        <v>3608676</v>
      </c>
      <c r="E22" s="8">
        <v>528894</v>
      </c>
      <c r="F22" s="8">
        <v>646256</v>
      </c>
      <c r="G22" s="8">
        <v>40102</v>
      </c>
      <c r="H22" s="8">
        <v>325</v>
      </c>
      <c r="I22" s="9">
        <v>6.8522032468901539E-2</v>
      </c>
    </row>
    <row r="23" spans="1:9" ht="17.100000000000001" customHeight="1" x14ac:dyDescent="0.3">
      <c r="A23" s="2">
        <v>19</v>
      </c>
      <c r="B23" s="20" t="s">
        <v>28</v>
      </c>
      <c r="C23" s="4">
        <v>18</v>
      </c>
      <c r="D23" s="4">
        <v>1311318</v>
      </c>
      <c r="E23" s="4">
        <v>190427</v>
      </c>
      <c r="F23" s="4">
        <v>427379</v>
      </c>
      <c r="G23" s="4">
        <v>19332</v>
      </c>
      <c r="H23" s="4">
        <v>193</v>
      </c>
      <c r="I23" s="5">
        <v>4.0691545435378451E-2</v>
      </c>
    </row>
    <row r="24" spans="1:9" ht="17.100000000000001" customHeight="1" x14ac:dyDescent="0.3">
      <c r="A24" s="6">
        <v>20</v>
      </c>
      <c r="B24" s="21" t="s">
        <v>29</v>
      </c>
      <c r="C24" s="8">
        <v>18</v>
      </c>
      <c r="D24" s="8">
        <v>2340898</v>
      </c>
      <c r="E24" s="8">
        <v>581725</v>
      </c>
      <c r="F24" s="8">
        <v>372690</v>
      </c>
      <c r="G24" s="8">
        <v>31984</v>
      </c>
      <c r="H24" s="8">
        <v>219</v>
      </c>
      <c r="I24" s="9">
        <v>4.6173308032890582E-2</v>
      </c>
    </row>
    <row r="25" spans="1:9" ht="17.100000000000001" customHeight="1" x14ac:dyDescent="0.3">
      <c r="A25" s="2">
        <v>21</v>
      </c>
      <c r="B25" s="20" t="s">
        <v>30</v>
      </c>
      <c r="C25" s="4">
        <v>16</v>
      </c>
      <c r="D25" s="4">
        <v>1768906</v>
      </c>
      <c r="E25" s="4">
        <v>214103</v>
      </c>
      <c r="F25" s="4">
        <v>202971</v>
      </c>
      <c r="G25" s="4">
        <v>18428</v>
      </c>
      <c r="H25" s="4">
        <v>94</v>
      </c>
      <c r="I25" s="5">
        <v>1.9818680160236139E-2</v>
      </c>
    </row>
    <row r="26" spans="1:9" ht="17.100000000000001" customHeight="1" x14ac:dyDescent="0.3">
      <c r="A26" s="6">
        <v>22</v>
      </c>
      <c r="B26" s="21" t="s">
        <v>31</v>
      </c>
      <c r="C26" s="8">
        <v>16</v>
      </c>
      <c r="D26" s="8">
        <v>1180699</v>
      </c>
      <c r="E26" s="8">
        <v>162591</v>
      </c>
      <c r="F26" s="8">
        <v>458642</v>
      </c>
      <c r="G26" s="8">
        <v>19688</v>
      </c>
      <c r="H26" s="8">
        <v>188</v>
      </c>
      <c r="I26" s="9">
        <v>3.9637360320472277E-2</v>
      </c>
    </row>
    <row r="27" spans="1:9" ht="17.100000000000001" customHeight="1" x14ac:dyDescent="0.3">
      <c r="A27" s="2">
        <v>23</v>
      </c>
      <c r="B27" s="20" t="s">
        <v>32</v>
      </c>
      <c r="C27" s="4">
        <v>17</v>
      </c>
      <c r="D27" s="4">
        <v>1440679</v>
      </c>
      <c r="E27" s="4">
        <v>397943</v>
      </c>
      <c r="F27" s="4">
        <v>137857</v>
      </c>
      <c r="G27" s="4">
        <v>22765</v>
      </c>
      <c r="H27" s="4">
        <v>141</v>
      </c>
      <c r="I27" s="5">
        <v>2.972802024035421E-2</v>
      </c>
    </row>
    <row r="28" spans="1:9" ht="17.100000000000001" customHeight="1" x14ac:dyDescent="0.3">
      <c r="A28" s="6">
        <v>24</v>
      </c>
      <c r="B28" s="21" t="s">
        <v>33</v>
      </c>
      <c r="C28" s="8">
        <v>15</v>
      </c>
      <c r="D28" s="8">
        <v>1636647</v>
      </c>
      <c r="E28" s="8">
        <v>682050</v>
      </c>
      <c r="F28" s="8">
        <v>118861</v>
      </c>
      <c r="G28" s="8">
        <v>25727</v>
      </c>
      <c r="H28" s="8">
        <v>169</v>
      </c>
      <c r="I28" s="9">
        <v>3.5631456883828801E-2</v>
      </c>
    </row>
    <row r="29" spans="1:9" ht="17.100000000000001" customHeight="1" x14ac:dyDescent="0.3">
      <c r="A29" s="2">
        <v>25</v>
      </c>
      <c r="B29" s="20" t="s">
        <v>34</v>
      </c>
      <c r="C29" s="4">
        <v>16</v>
      </c>
      <c r="D29" s="4">
        <v>1288562</v>
      </c>
      <c r="E29" s="4">
        <v>158345</v>
      </c>
      <c r="F29" s="4">
        <v>377334</v>
      </c>
      <c r="G29" s="4">
        <v>17164</v>
      </c>
      <c r="H29" s="4">
        <v>158</v>
      </c>
      <c r="I29" s="5">
        <v>3.3312249631035212E-2</v>
      </c>
    </row>
    <row r="30" spans="1:9" ht="20.100000000000001" customHeight="1" x14ac:dyDescent="0.3">
      <c r="A30" s="26" t="s">
        <v>35</v>
      </c>
      <c r="B30" s="24"/>
      <c r="C30" s="10">
        <f t="shared" ref="C30:H30" si="0">SUM(C5:C29)</f>
        <v>427</v>
      </c>
      <c r="D30" s="10">
        <f t="shared" si="0"/>
        <v>45103437</v>
      </c>
      <c r="E30" s="10">
        <f t="shared" si="0"/>
        <v>8482591</v>
      </c>
      <c r="F30" s="10">
        <f t="shared" si="0"/>
        <v>9323492</v>
      </c>
      <c r="G30" s="10">
        <f t="shared" si="0"/>
        <v>619134</v>
      </c>
      <c r="H30" s="10">
        <f t="shared" si="0"/>
        <v>4743</v>
      </c>
      <c r="I30" s="11">
        <v>1</v>
      </c>
    </row>
  </sheetData>
  <mergeCells count="3">
    <mergeCell ref="A1:I1"/>
    <mergeCell ref="A2:I2"/>
    <mergeCell ref="A30:B30"/>
  </mergeCells>
  <phoneticPr fontId="12" type="noConversion"/>
  <hyperlinks>
    <hyperlink ref="B5" location="강남구!A1" display="강남구" xr:uid="{49457D5D-4AB4-4B10-A7F6-9C809818A015}"/>
    <hyperlink ref="B6" location="강동구!A1" display="강동구" xr:uid="{C5D9BC31-B971-4DC3-BA07-723B85811785}"/>
    <hyperlink ref="B7" location="강북구!A1" display="강북구" xr:uid="{48671E4C-F55A-426E-B561-6A272C278B2A}"/>
    <hyperlink ref="B8" location="강서구!A1" display="강서구" xr:uid="{2E8611B3-238D-43FE-BEA2-E8676C12BB63}"/>
    <hyperlink ref="B9" location="관악구!A1" display="관악구" xr:uid="{268919A5-E5C7-4085-A46C-C159588D149F}"/>
    <hyperlink ref="B10" location="광진구!A1" display="광진구" xr:uid="{F63A9B78-D73B-4C67-B696-F6DD5AAE780E}"/>
    <hyperlink ref="B11" location="구로구!A1" display="구로구" xr:uid="{3B3B51AD-60E0-4757-AECE-411AF53EC3A6}"/>
    <hyperlink ref="B12" location="금천구!A1" display="금천구" xr:uid="{11578D82-73D6-4129-A158-6305C69007A1}"/>
    <hyperlink ref="B13" location="노원구!A1" display="노원구" xr:uid="{E0AD40FB-C604-403E-849A-7C5F3EF0E859}"/>
    <hyperlink ref="B14" location="도봉구!A1" display="도봉구" xr:uid="{E3C5CA66-B0BB-4FA3-9533-A08D93217945}"/>
    <hyperlink ref="B15" location="동대문구!A1" display="동대문구" xr:uid="{A4B23F70-208A-4C83-86AC-15AC7319CE9C}"/>
    <hyperlink ref="B16" location="동작구!A1" display="동작구" xr:uid="{67B5DC5E-DEBC-4A75-9BF1-8043A0C80AAE}"/>
    <hyperlink ref="B17" location="마포구!A1" display="마포구" xr:uid="{E53E076C-6E0A-4D31-A04F-73395AE03B23}"/>
    <hyperlink ref="B18" location="서대문구!A1" display="서대문구" xr:uid="{0F6A4EE7-C957-4B57-81E7-DBD6CD1705E5}"/>
    <hyperlink ref="B19" location="서초구!A1" display="서초구" xr:uid="{D133D190-6128-48CA-BE49-F268E8D3E038}"/>
    <hyperlink ref="B20" location="성동구!A1" display="성동구" xr:uid="{9A7B90C6-5DE0-4EA6-91CF-1FA9C2394C1D}"/>
    <hyperlink ref="B21" location="성북구!A1" display="성북구" xr:uid="{62780551-D420-4070-BDD9-5987728BE7AB}"/>
    <hyperlink ref="B22" location="송파구!A1" display="송파구" xr:uid="{C8E5692D-A182-43D7-AF5C-02112F206102}"/>
    <hyperlink ref="B23" location="양천구!A1" display="양천구" xr:uid="{E961430C-C70D-4D67-9DA6-D7FD2A8B4B9D}"/>
    <hyperlink ref="B24" location="영등포구!A1" display="영등포구" xr:uid="{10D8C3C8-4473-42C3-80E2-C2757075F20F}"/>
    <hyperlink ref="B25" location="용산구!A1" display="용산구" xr:uid="{279A1F42-41EA-4108-AB56-5AA6BBFA3DDB}"/>
    <hyperlink ref="B26" location="은평구!A1" display="은평구" xr:uid="{324F5DAC-AC2C-407C-BE64-FBA82A3B1926}"/>
    <hyperlink ref="B27" location="종로구!A1" display="종로구" xr:uid="{DEEAF52C-ADD0-4F86-AF41-6A246953F1BF}"/>
    <hyperlink ref="B28" location="중구!A1" display="중구" xr:uid="{CE18D5B4-8A8F-4E34-B02C-30BCA21C5B05}"/>
    <hyperlink ref="B29" location="중랑구!A1" display="중랑구" xr:uid="{5E9C5A21-DBCF-4F60-BA8B-15F6620533B1}"/>
    <hyperlink ref="H3" location="'구별 순위 비교'!A1" display="구별 순위" xr:uid="{E4DB5C8F-018C-42AB-A179-23D5DE015BC4}"/>
    <hyperlink ref="I3" location="'데이터 현황 안내'!A1" display="데이터 현황" xr:uid="{0FC283B7-4223-4A09-B20A-4121B90679E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workbookViewId="0">
      <pane ySplit="3" topLeftCell="A4" activePane="bottomLeft" state="frozen"/>
      <selection pane="bottomLeft" sqref="A1:J1"/>
    </sheetView>
  </sheetViews>
  <sheetFormatPr defaultRowHeight="16.5" x14ac:dyDescent="0.3"/>
  <cols>
    <col min="1" max="1" width="10" customWidth="1"/>
    <col min="2" max="2" width="13" customWidth="1"/>
    <col min="3" max="3" width="8" customWidth="1"/>
    <col min="4" max="4" width="13" customWidth="1"/>
    <col min="5" max="5" width="8" customWidth="1"/>
    <col min="6" max="6" width="12" customWidth="1"/>
    <col min="7" max="7" width="8" customWidth="1"/>
    <col min="8" max="8" width="10" customWidth="1"/>
    <col min="9" max="10" width="8" customWidth="1"/>
  </cols>
  <sheetData>
    <row r="1" spans="1:10" ht="27.95" customHeight="1" x14ac:dyDescent="0.3">
      <c r="A1" s="27" t="s">
        <v>463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customHeight="1" x14ac:dyDescent="0.3">
      <c r="A2" s="25" t="s">
        <v>464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0.100000000000001" customHeight="1" x14ac:dyDescent="0.3">
      <c r="A3" s="12" t="s">
        <v>2</v>
      </c>
      <c r="B3" s="12" t="s">
        <v>4</v>
      </c>
      <c r="C3" s="12" t="s">
        <v>465</v>
      </c>
      <c r="D3" s="12" t="s">
        <v>5</v>
      </c>
      <c r="E3" s="12" t="s">
        <v>466</v>
      </c>
      <c r="F3" s="12" t="s">
        <v>6</v>
      </c>
      <c r="G3" s="12" t="s">
        <v>467</v>
      </c>
      <c r="H3" s="12" t="s">
        <v>7</v>
      </c>
      <c r="I3" s="12" t="s">
        <v>468</v>
      </c>
      <c r="J3" s="12" t="s">
        <v>8</v>
      </c>
    </row>
    <row r="4" spans="1:10" ht="17.100000000000001" customHeight="1" x14ac:dyDescent="0.3">
      <c r="A4" s="3" t="s">
        <v>10</v>
      </c>
      <c r="B4" s="4">
        <v>4356668</v>
      </c>
      <c r="C4" s="13">
        <v>1</v>
      </c>
      <c r="D4" s="4">
        <v>1223035</v>
      </c>
      <c r="E4" s="13">
        <v>1</v>
      </c>
      <c r="F4" s="4">
        <v>556429</v>
      </c>
      <c r="G4" s="14">
        <v>2</v>
      </c>
      <c r="H4" s="4">
        <v>73088</v>
      </c>
      <c r="I4" s="13">
        <v>1</v>
      </c>
      <c r="J4" s="4">
        <v>523</v>
      </c>
    </row>
    <row r="5" spans="1:10" ht="17.100000000000001" customHeight="1" x14ac:dyDescent="0.3">
      <c r="A5" s="7" t="s">
        <v>11</v>
      </c>
      <c r="B5" s="8">
        <v>1757004</v>
      </c>
      <c r="C5" s="6">
        <v>10</v>
      </c>
      <c r="D5" s="8">
        <v>244368</v>
      </c>
      <c r="E5" s="6">
        <v>12</v>
      </c>
      <c r="F5" s="8">
        <v>498673</v>
      </c>
      <c r="G5" s="6">
        <v>4</v>
      </c>
      <c r="H5" s="8">
        <v>23051</v>
      </c>
      <c r="I5" s="6">
        <v>8</v>
      </c>
      <c r="J5" s="8">
        <v>233</v>
      </c>
    </row>
    <row r="6" spans="1:10" ht="17.100000000000001" customHeight="1" x14ac:dyDescent="0.3">
      <c r="A6" s="3" t="s">
        <v>12</v>
      </c>
      <c r="B6" s="4">
        <v>859146</v>
      </c>
      <c r="C6" s="2">
        <v>24</v>
      </c>
      <c r="D6" s="4">
        <v>129687</v>
      </c>
      <c r="E6" s="2">
        <v>24</v>
      </c>
      <c r="F6" s="4">
        <v>280813</v>
      </c>
      <c r="G6" s="2">
        <v>20</v>
      </c>
      <c r="H6" s="4">
        <v>13797</v>
      </c>
      <c r="I6" s="2">
        <v>24</v>
      </c>
      <c r="J6" s="4">
        <v>123</v>
      </c>
    </row>
    <row r="7" spans="1:10" ht="17.100000000000001" customHeight="1" x14ac:dyDescent="0.3">
      <c r="A7" s="7" t="s">
        <v>13</v>
      </c>
      <c r="B7" s="8">
        <v>2570020</v>
      </c>
      <c r="C7" s="6">
        <v>4</v>
      </c>
      <c r="D7" s="8">
        <v>404308</v>
      </c>
      <c r="E7" s="6">
        <v>7</v>
      </c>
      <c r="F7" s="8">
        <v>551848</v>
      </c>
      <c r="G7" s="15">
        <v>3</v>
      </c>
      <c r="H7" s="8">
        <v>30653</v>
      </c>
      <c r="I7" s="6">
        <v>6</v>
      </c>
      <c r="J7" s="8">
        <v>237</v>
      </c>
    </row>
    <row r="8" spans="1:10" ht="17.100000000000001" customHeight="1" x14ac:dyDescent="0.3">
      <c r="A8" s="3" t="s">
        <v>14</v>
      </c>
      <c r="B8" s="4">
        <v>1368941</v>
      </c>
      <c r="C8" s="2">
        <v>17</v>
      </c>
      <c r="D8" s="4">
        <v>211563</v>
      </c>
      <c r="E8" s="2">
        <v>14</v>
      </c>
      <c r="F8" s="4">
        <v>479285</v>
      </c>
      <c r="G8" s="2">
        <v>6</v>
      </c>
      <c r="H8" s="4">
        <v>21867</v>
      </c>
      <c r="I8" s="2">
        <v>10</v>
      </c>
      <c r="J8" s="4">
        <v>198</v>
      </c>
    </row>
    <row r="9" spans="1:10" ht="17.100000000000001" customHeight="1" x14ac:dyDescent="0.3">
      <c r="A9" s="7" t="s">
        <v>15</v>
      </c>
      <c r="B9" s="8">
        <v>1456620</v>
      </c>
      <c r="C9" s="6">
        <v>15</v>
      </c>
      <c r="D9" s="8">
        <v>207166</v>
      </c>
      <c r="E9" s="6">
        <v>15</v>
      </c>
      <c r="F9" s="8">
        <v>332833</v>
      </c>
      <c r="G9" s="6">
        <v>17</v>
      </c>
      <c r="H9" s="8">
        <v>20275</v>
      </c>
      <c r="I9" s="6">
        <v>12</v>
      </c>
      <c r="J9" s="8">
        <v>149</v>
      </c>
    </row>
    <row r="10" spans="1:10" ht="17.100000000000001" customHeight="1" x14ac:dyDescent="0.3">
      <c r="A10" s="3" t="s">
        <v>16</v>
      </c>
      <c r="B10" s="4">
        <v>1831283</v>
      </c>
      <c r="C10" s="2">
        <v>7</v>
      </c>
      <c r="D10" s="4">
        <v>326291</v>
      </c>
      <c r="E10" s="2">
        <v>10</v>
      </c>
      <c r="F10" s="4">
        <v>385786</v>
      </c>
      <c r="G10" s="2">
        <v>11</v>
      </c>
      <c r="H10" s="4">
        <v>21236</v>
      </c>
      <c r="I10" s="2">
        <v>11</v>
      </c>
      <c r="J10" s="4">
        <v>167</v>
      </c>
    </row>
    <row r="11" spans="1:10" ht="17.100000000000001" customHeight="1" x14ac:dyDescent="0.3">
      <c r="A11" s="7" t="s">
        <v>17</v>
      </c>
      <c r="B11" s="8">
        <v>1160008</v>
      </c>
      <c r="C11" s="6">
        <v>22</v>
      </c>
      <c r="D11" s="8">
        <v>327580</v>
      </c>
      <c r="E11" s="6">
        <v>9</v>
      </c>
      <c r="F11" s="8">
        <v>223771</v>
      </c>
      <c r="G11" s="6">
        <v>22</v>
      </c>
      <c r="H11" s="8">
        <v>19460</v>
      </c>
      <c r="I11" s="6">
        <v>16</v>
      </c>
      <c r="J11" s="8">
        <v>104</v>
      </c>
    </row>
    <row r="12" spans="1:10" ht="17.100000000000001" customHeight="1" x14ac:dyDescent="0.3">
      <c r="A12" s="3" t="s">
        <v>18</v>
      </c>
      <c r="B12" s="4">
        <v>1774683</v>
      </c>
      <c r="C12" s="2">
        <v>8</v>
      </c>
      <c r="D12" s="4">
        <v>206147</v>
      </c>
      <c r="E12" s="2">
        <v>16</v>
      </c>
      <c r="F12" s="4">
        <v>486173</v>
      </c>
      <c r="G12" s="2">
        <v>5</v>
      </c>
      <c r="H12" s="4">
        <v>19743</v>
      </c>
      <c r="I12" s="2">
        <v>14</v>
      </c>
      <c r="J12" s="4">
        <v>199</v>
      </c>
    </row>
    <row r="13" spans="1:10" ht="17.100000000000001" customHeight="1" x14ac:dyDescent="0.3">
      <c r="A13" s="7" t="s">
        <v>19</v>
      </c>
      <c r="B13" s="8">
        <v>723138</v>
      </c>
      <c r="C13" s="6">
        <v>25</v>
      </c>
      <c r="D13" s="8">
        <v>118204</v>
      </c>
      <c r="E13" s="6">
        <v>25</v>
      </c>
      <c r="F13" s="8">
        <v>301161</v>
      </c>
      <c r="G13" s="6">
        <v>18</v>
      </c>
      <c r="H13" s="8">
        <v>12405</v>
      </c>
      <c r="I13" s="6">
        <v>25</v>
      </c>
      <c r="J13" s="8">
        <v>102</v>
      </c>
    </row>
    <row r="14" spans="1:10" ht="17.100000000000001" customHeight="1" x14ac:dyDescent="0.3">
      <c r="A14" s="3" t="s">
        <v>20</v>
      </c>
      <c r="B14" s="4">
        <v>1315688</v>
      </c>
      <c r="C14" s="2">
        <v>18</v>
      </c>
      <c r="D14" s="4">
        <v>203875</v>
      </c>
      <c r="E14" s="2">
        <v>17</v>
      </c>
      <c r="F14" s="4">
        <v>343695</v>
      </c>
      <c r="G14" s="2">
        <v>16</v>
      </c>
      <c r="H14" s="4">
        <v>19238</v>
      </c>
      <c r="I14" s="2">
        <v>18</v>
      </c>
      <c r="J14" s="4">
        <v>160</v>
      </c>
    </row>
    <row r="15" spans="1:10" ht="17.100000000000001" customHeight="1" x14ac:dyDescent="0.3">
      <c r="A15" s="7" t="s">
        <v>21</v>
      </c>
      <c r="B15" s="8">
        <v>1520409</v>
      </c>
      <c r="C15" s="6">
        <v>13</v>
      </c>
      <c r="D15" s="8">
        <v>176191</v>
      </c>
      <c r="E15" s="6">
        <v>21</v>
      </c>
      <c r="F15" s="8">
        <v>374200</v>
      </c>
      <c r="G15" s="6">
        <v>13</v>
      </c>
      <c r="H15" s="8">
        <v>16449</v>
      </c>
      <c r="I15" s="6">
        <v>22</v>
      </c>
      <c r="J15" s="8">
        <v>168</v>
      </c>
    </row>
    <row r="16" spans="1:10" ht="17.100000000000001" customHeight="1" x14ac:dyDescent="0.3">
      <c r="A16" s="3" t="s">
        <v>22</v>
      </c>
      <c r="B16" s="4">
        <v>2073024</v>
      </c>
      <c r="C16" s="2">
        <v>6</v>
      </c>
      <c r="D16" s="4">
        <v>420777</v>
      </c>
      <c r="E16" s="2">
        <v>6</v>
      </c>
      <c r="F16" s="4">
        <v>359125</v>
      </c>
      <c r="G16" s="2">
        <v>15</v>
      </c>
      <c r="H16" s="4">
        <v>34491</v>
      </c>
      <c r="I16" s="2">
        <v>4</v>
      </c>
      <c r="J16" s="4">
        <v>188</v>
      </c>
    </row>
    <row r="17" spans="1:10" ht="17.100000000000001" customHeight="1" x14ac:dyDescent="0.3">
      <c r="A17" s="7" t="s">
        <v>23</v>
      </c>
      <c r="B17" s="8">
        <v>1116644</v>
      </c>
      <c r="C17" s="6">
        <v>23</v>
      </c>
      <c r="D17" s="8">
        <v>182383</v>
      </c>
      <c r="E17" s="6">
        <v>20</v>
      </c>
      <c r="F17" s="8">
        <v>301097</v>
      </c>
      <c r="G17" s="6">
        <v>19</v>
      </c>
      <c r="H17" s="8">
        <v>15850</v>
      </c>
      <c r="I17" s="6">
        <v>23</v>
      </c>
      <c r="J17" s="8">
        <v>128</v>
      </c>
    </row>
    <row r="18" spans="1:10" ht="17.100000000000001" customHeight="1" x14ac:dyDescent="0.3">
      <c r="A18" s="3" t="s">
        <v>24</v>
      </c>
      <c r="B18" s="4">
        <v>3622231</v>
      </c>
      <c r="C18" s="14">
        <v>2</v>
      </c>
      <c r="D18" s="4">
        <v>697658</v>
      </c>
      <c r="E18" s="14">
        <v>2</v>
      </c>
      <c r="F18" s="4">
        <v>409387</v>
      </c>
      <c r="G18" s="2">
        <v>10</v>
      </c>
      <c r="H18" s="4">
        <v>43972</v>
      </c>
      <c r="I18" s="14">
        <v>2</v>
      </c>
      <c r="J18" s="4">
        <v>309</v>
      </c>
    </row>
    <row r="19" spans="1:10" ht="17.100000000000001" customHeight="1" x14ac:dyDescent="0.3">
      <c r="A19" s="7" t="s">
        <v>25</v>
      </c>
      <c r="B19" s="8">
        <v>1550390</v>
      </c>
      <c r="C19" s="6">
        <v>12</v>
      </c>
      <c r="D19" s="8">
        <v>293523</v>
      </c>
      <c r="E19" s="6">
        <v>11</v>
      </c>
      <c r="F19" s="8">
        <v>272979</v>
      </c>
      <c r="G19" s="6">
        <v>21</v>
      </c>
      <c r="H19" s="8">
        <v>19936</v>
      </c>
      <c r="I19" s="6">
        <v>13</v>
      </c>
      <c r="J19" s="8">
        <v>123</v>
      </c>
    </row>
    <row r="20" spans="1:10" ht="17.100000000000001" customHeight="1" x14ac:dyDescent="0.3">
      <c r="A20" s="3" t="s">
        <v>26</v>
      </c>
      <c r="B20" s="4">
        <v>1471155</v>
      </c>
      <c r="C20" s="2">
        <v>14</v>
      </c>
      <c r="D20" s="4">
        <v>193757</v>
      </c>
      <c r="E20" s="2">
        <v>18</v>
      </c>
      <c r="F20" s="4">
        <v>424247</v>
      </c>
      <c r="G20" s="2">
        <v>9</v>
      </c>
      <c r="H20" s="4">
        <v>18433</v>
      </c>
      <c r="I20" s="2">
        <v>19</v>
      </c>
      <c r="J20" s="4">
        <v>145</v>
      </c>
    </row>
    <row r="21" spans="1:10" ht="17.100000000000001" customHeight="1" x14ac:dyDescent="0.3">
      <c r="A21" s="7" t="s">
        <v>27</v>
      </c>
      <c r="B21" s="8">
        <v>3608676</v>
      </c>
      <c r="C21" s="15">
        <v>3</v>
      </c>
      <c r="D21" s="8">
        <v>528894</v>
      </c>
      <c r="E21" s="6">
        <v>5</v>
      </c>
      <c r="F21" s="8">
        <v>646256</v>
      </c>
      <c r="G21" s="13">
        <v>1</v>
      </c>
      <c r="H21" s="8">
        <v>40102</v>
      </c>
      <c r="I21" s="15">
        <v>3</v>
      </c>
      <c r="J21" s="8">
        <v>325</v>
      </c>
    </row>
    <row r="22" spans="1:10" ht="17.100000000000001" customHeight="1" x14ac:dyDescent="0.3">
      <c r="A22" s="3" t="s">
        <v>28</v>
      </c>
      <c r="B22" s="4">
        <v>1311318</v>
      </c>
      <c r="C22" s="2">
        <v>19</v>
      </c>
      <c r="D22" s="4">
        <v>190427</v>
      </c>
      <c r="E22" s="2">
        <v>19</v>
      </c>
      <c r="F22" s="4">
        <v>427379</v>
      </c>
      <c r="G22" s="2">
        <v>8</v>
      </c>
      <c r="H22" s="4">
        <v>19332</v>
      </c>
      <c r="I22" s="2">
        <v>17</v>
      </c>
      <c r="J22" s="4">
        <v>193</v>
      </c>
    </row>
    <row r="23" spans="1:10" ht="17.100000000000001" customHeight="1" x14ac:dyDescent="0.3">
      <c r="A23" s="7" t="s">
        <v>29</v>
      </c>
      <c r="B23" s="8">
        <v>2340898</v>
      </c>
      <c r="C23" s="6">
        <v>5</v>
      </c>
      <c r="D23" s="8">
        <v>581725</v>
      </c>
      <c r="E23" s="6">
        <v>4</v>
      </c>
      <c r="F23" s="8">
        <v>372690</v>
      </c>
      <c r="G23" s="6">
        <v>14</v>
      </c>
      <c r="H23" s="8">
        <v>31984</v>
      </c>
      <c r="I23" s="6">
        <v>5</v>
      </c>
      <c r="J23" s="8">
        <v>219</v>
      </c>
    </row>
    <row r="24" spans="1:10" ht="17.100000000000001" customHeight="1" x14ac:dyDescent="0.3">
      <c r="A24" s="3" t="s">
        <v>30</v>
      </c>
      <c r="B24" s="4">
        <v>1768906</v>
      </c>
      <c r="C24" s="2">
        <v>9</v>
      </c>
      <c r="D24" s="4">
        <v>214103</v>
      </c>
      <c r="E24" s="2">
        <v>13</v>
      </c>
      <c r="F24" s="4">
        <v>202971</v>
      </c>
      <c r="G24" s="2">
        <v>23</v>
      </c>
      <c r="H24" s="4">
        <v>18428</v>
      </c>
      <c r="I24" s="2">
        <v>20</v>
      </c>
      <c r="J24" s="4">
        <v>94</v>
      </c>
    </row>
    <row r="25" spans="1:10" ht="17.100000000000001" customHeight="1" x14ac:dyDescent="0.3">
      <c r="A25" s="7" t="s">
        <v>31</v>
      </c>
      <c r="B25" s="8">
        <v>1180699</v>
      </c>
      <c r="C25" s="6">
        <v>21</v>
      </c>
      <c r="D25" s="8">
        <v>162591</v>
      </c>
      <c r="E25" s="6">
        <v>22</v>
      </c>
      <c r="F25" s="8">
        <v>458642</v>
      </c>
      <c r="G25" s="6">
        <v>7</v>
      </c>
      <c r="H25" s="8">
        <v>19688</v>
      </c>
      <c r="I25" s="6">
        <v>15</v>
      </c>
      <c r="J25" s="8">
        <v>188</v>
      </c>
    </row>
    <row r="26" spans="1:10" ht="17.100000000000001" customHeight="1" x14ac:dyDescent="0.3">
      <c r="A26" s="3" t="s">
        <v>32</v>
      </c>
      <c r="B26" s="4">
        <v>1440679</v>
      </c>
      <c r="C26" s="2">
        <v>16</v>
      </c>
      <c r="D26" s="4">
        <v>397943</v>
      </c>
      <c r="E26" s="2">
        <v>8</v>
      </c>
      <c r="F26" s="4">
        <v>137857</v>
      </c>
      <c r="G26" s="2">
        <v>24</v>
      </c>
      <c r="H26" s="4">
        <v>22765</v>
      </c>
      <c r="I26" s="2">
        <v>9</v>
      </c>
      <c r="J26" s="4">
        <v>141</v>
      </c>
    </row>
    <row r="27" spans="1:10" ht="17.100000000000001" customHeight="1" x14ac:dyDescent="0.3">
      <c r="A27" s="7" t="s">
        <v>33</v>
      </c>
      <c r="B27" s="8">
        <v>1636647</v>
      </c>
      <c r="C27" s="6">
        <v>11</v>
      </c>
      <c r="D27" s="8">
        <v>682050</v>
      </c>
      <c r="E27" s="15">
        <v>3</v>
      </c>
      <c r="F27" s="8">
        <v>118861</v>
      </c>
      <c r="G27" s="6">
        <v>25</v>
      </c>
      <c r="H27" s="8">
        <v>25727</v>
      </c>
      <c r="I27" s="6">
        <v>7</v>
      </c>
      <c r="J27" s="8">
        <v>169</v>
      </c>
    </row>
    <row r="28" spans="1:10" ht="17.100000000000001" customHeight="1" x14ac:dyDescent="0.3">
      <c r="A28" s="3" t="s">
        <v>34</v>
      </c>
      <c r="B28" s="4">
        <v>1288562</v>
      </c>
      <c r="C28" s="2">
        <v>20</v>
      </c>
      <c r="D28" s="4">
        <v>158345</v>
      </c>
      <c r="E28" s="2">
        <v>23</v>
      </c>
      <c r="F28" s="4">
        <v>377334</v>
      </c>
      <c r="G28" s="2">
        <v>12</v>
      </c>
      <c r="H28" s="4">
        <v>17164</v>
      </c>
      <c r="I28" s="2">
        <v>21</v>
      </c>
      <c r="J28" s="4">
        <v>158</v>
      </c>
    </row>
    <row r="30" spans="1:10" x14ac:dyDescent="0.3">
      <c r="A30" s="28" t="s">
        <v>469</v>
      </c>
      <c r="B30" s="24"/>
      <c r="C30" s="24"/>
      <c r="D30" s="24"/>
      <c r="E30" s="24"/>
      <c r="F30" s="24"/>
      <c r="G30" s="24"/>
      <c r="H30" s="24"/>
      <c r="I30" s="24"/>
      <c r="J30" s="24"/>
    </row>
  </sheetData>
  <mergeCells count="3">
    <mergeCell ref="A1:J1"/>
    <mergeCell ref="A30:J30"/>
    <mergeCell ref="A2:J2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workbookViewId="0">
      <selection sqref="A1:E1"/>
    </sheetView>
  </sheetViews>
  <sheetFormatPr defaultRowHeight="16.5" x14ac:dyDescent="0.3"/>
  <cols>
    <col min="1" max="1" width="22" customWidth="1"/>
    <col min="2" max="2" width="16" customWidth="1"/>
    <col min="3" max="3" width="40" customWidth="1"/>
  </cols>
  <sheetData>
    <row r="1" spans="1:5" ht="27.95" customHeight="1" x14ac:dyDescent="0.3">
      <c r="A1" s="27" t="s">
        <v>470</v>
      </c>
      <c r="B1" s="24"/>
      <c r="C1" s="24"/>
      <c r="D1" s="24"/>
      <c r="E1" s="24"/>
    </row>
    <row r="2" spans="1:5" ht="20.100000000000001" customHeight="1" x14ac:dyDescent="0.3">
      <c r="A2" s="16" t="s">
        <v>471</v>
      </c>
      <c r="B2" s="16" t="s">
        <v>472</v>
      </c>
      <c r="C2" s="16" t="s">
        <v>36</v>
      </c>
    </row>
    <row r="3" spans="1:5" ht="20.100000000000001" customHeight="1" x14ac:dyDescent="0.3">
      <c r="A3" s="17" t="s">
        <v>473</v>
      </c>
      <c r="B3" s="17" t="s">
        <v>474</v>
      </c>
      <c r="C3" s="17" t="s">
        <v>475</v>
      </c>
    </row>
    <row r="4" spans="1:5" ht="20.100000000000001" customHeight="1" x14ac:dyDescent="0.3">
      <c r="A4" s="17" t="s">
        <v>476</v>
      </c>
      <c r="B4" s="17" t="s">
        <v>474</v>
      </c>
      <c r="C4" s="17" t="s">
        <v>475</v>
      </c>
    </row>
    <row r="5" spans="1:5" ht="20.100000000000001" customHeight="1" x14ac:dyDescent="0.3">
      <c r="A5" s="17" t="s">
        <v>477</v>
      </c>
      <c r="B5" s="17" t="s">
        <v>474</v>
      </c>
      <c r="C5" s="17" t="s">
        <v>475</v>
      </c>
    </row>
    <row r="6" spans="1:5" ht="20.100000000000001" customHeight="1" x14ac:dyDescent="0.3">
      <c r="A6" s="17" t="s">
        <v>478</v>
      </c>
      <c r="B6" s="17" t="s">
        <v>474</v>
      </c>
      <c r="C6" s="17" t="s">
        <v>475</v>
      </c>
    </row>
    <row r="7" spans="1:5" ht="20.100000000000001" customHeight="1" x14ac:dyDescent="0.3">
      <c r="A7" s="17" t="s">
        <v>479</v>
      </c>
      <c r="B7" s="17" t="s">
        <v>474</v>
      </c>
      <c r="C7" s="17" t="s">
        <v>475</v>
      </c>
    </row>
    <row r="8" spans="1:5" ht="20.100000000000001" customHeight="1" x14ac:dyDescent="0.3">
      <c r="A8" s="18" t="s">
        <v>480</v>
      </c>
      <c r="B8" s="18" t="s">
        <v>481</v>
      </c>
      <c r="C8" s="18" t="s">
        <v>482</v>
      </c>
    </row>
    <row r="9" spans="1:5" ht="20.100000000000001" customHeight="1" x14ac:dyDescent="0.3">
      <c r="A9" s="18" t="s">
        <v>483</v>
      </c>
      <c r="B9" s="18" t="s">
        <v>481</v>
      </c>
      <c r="C9" s="18" t="s">
        <v>482</v>
      </c>
    </row>
    <row r="10" spans="1:5" ht="20.100000000000001" customHeight="1" x14ac:dyDescent="0.3">
      <c r="A10" s="18" t="s">
        <v>484</v>
      </c>
      <c r="B10" s="18" t="s">
        <v>481</v>
      </c>
      <c r="C10" s="18" t="s">
        <v>482</v>
      </c>
    </row>
    <row r="11" spans="1:5" ht="20.100000000000001" customHeight="1" x14ac:dyDescent="0.3">
      <c r="A11" s="18" t="s">
        <v>485</v>
      </c>
      <c r="B11" s="18" t="s">
        <v>481</v>
      </c>
      <c r="C11" s="18" t="s">
        <v>482</v>
      </c>
    </row>
    <row r="12" spans="1:5" ht="20.100000000000001" customHeight="1" x14ac:dyDescent="0.3">
      <c r="A12" s="18" t="s">
        <v>486</v>
      </c>
      <c r="B12" s="18" t="s">
        <v>481</v>
      </c>
      <c r="C12" s="18" t="s">
        <v>482</v>
      </c>
    </row>
    <row r="13" spans="1:5" ht="20.100000000000001" customHeight="1" x14ac:dyDescent="0.3">
      <c r="A13" s="18" t="s">
        <v>487</v>
      </c>
      <c r="B13" s="18" t="s">
        <v>481</v>
      </c>
      <c r="C13" s="18" t="s">
        <v>482</v>
      </c>
    </row>
    <row r="14" spans="1:5" ht="20.100000000000001" customHeight="1" x14ac:dyDescent="0.3">
      <c r="A14" s="18" t="s">
        <v>488</v>
      </c>
      <c r="B14" s="18" t="s">
        <v>481</v>
      </c>
      <c r="C14" s="18" t="s">
        <v>489</v>
      </c>
    </row>
    <row r="15" spans="1:5" ht="20.100000000000001" customHeight="1" x14ac:dyDescent="0.3">
      <c r="A15" s="17" t="s">
        <v>490</v>
      </c>
      <c r="B15" s="17" t="s">
        <v>474</v>
      </c>
      <c r="C15" s="17" t="s">
        <v>491</v>
      </c>
    </row>
    <row r="16" spans="1:5" x14ac:dyDescent="0.3">
      <c r="A16" s="29" t="s">
        <v>492</v>
      </c>
      <c r="B16" s="24"/>
      <c r="C16" s="24"/>
    </row>
  </sheetData>
  <mergeCells count="2">
    <mergeCell ref="A16:C16"/>
    <mergeCell ref="A1:E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382-FD6E-49D6-BE4D-7D4DF497E10B}">
  <dimension ref="A1:H26"/>
  <sheetViews>
    <sheetView showGridLines="0" workbookViewId="0">
      <pane ySplit="3" topLeftCell="A4" activePane="bottomLeft" state="frozen"/>
      <selection activeCell="M14" sqref="M14"/>
      <selection pane="bottomLeft" sqref="A1:H1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495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37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38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39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40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41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42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43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44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45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46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47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48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49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50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51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52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53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54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55</v>
      </c>
      <c r="C22" s="4"/>
      <c r="D22" s="4"/>
      <c r="E22" s="4"/>
      <c r="F22" s="4"/>
      <c r="G22" s="4"/>
      <c r="H22" s="5"/>
    </row>
    <row r="23" spans="1:8" ht="17.100000000000001" customHeight="1" x14ac:dyDescent="0.3">
      <c r="A23" s="6">
        <v>20</v>
      </c>
      <c r="B23" s="7" t="s">
        <v>56</v>
      </c>
      <c r="C23" s="8"/>
      <c r="D23" s="8"/>
      <c r="E23" s="8"/>
      <c r="F23" s="8"/>
      <c r="G23" s="8"/>
      <c r="H23" s="9"/>
    </row>
    <row r="24" spans="1:8" ht="17.100000000000001" customHeight="1" x14ac:dyDescent="0.3">
      <c r="A24" s="2">
        <v>21</v>
      </c>
      <c r="B24" s="3" t="s">
        <v>57</v>
      </c>
      <c r="C24" s="4"/>
      <c r="D24" s="4"/>
      <c r="E24" s="4"/>
      <c r="F24" s="4"/>
      <c r="G24" s="4"/>
      <c r="H24" s="5"/>
    </row>
    <row r="25" spans="1:8" ht="17.100000000000001" customHeight="1" x14ac:dyDescent="0.3">
      <c r="A25" s="6">
        <v>22</v>
      </c>
      <c r="B25" s="7" t="s">
        <v>58</v>
      </c>
      <c r="C25" s="8"/>
      <c r="D25" s="8"/>
      <c r="E25" s="8"/>
      <c r="F25" s="8"/>
      <c r="G25" s="8"/>
      <c r="H25" s="9"/>
    </row>
    <row r="26" spans="1:8" ht="20.100000000000001" customHeight="1" x14ac:dyDescent="0.3">
      <c r="A26" s="30" t="s">
        <v>494</v>
      </c>
      <c r="B26" s="31"/>
      <c r="C26" s="10">
        <f>SUM(C4:C25)</f>
        <v>0</v>
      </c>
      <c r="D26" s="10">
        <f>SUM(D4:D25)</f>
        <v>0</v>
      </c>
      <c r="E26" s="10">
        <f>SUM(E4:E25)</f>
        <v>0</v>
      </c>
      <c r="F26" s="10">
        <f>SUM(F4:F25)</f>
        <v>0</v>
      </c>
      <c r="G26" s="10">
        <f>SUM(G4:G25)</f>
        <v>0</v>
      </c>
      <c r="H26" s="11">
        <v>1</v>
      </c>
    </row>
  </sheetData>
  <mergeCells count="3">
    <mergeCell ref="A1:H1"/>
    <mergeCell ref="A2:H2"/>
    <mergeCell ref="A26:B26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BA10-BFBE-4E10-B56A-81FC168DDC61}">
  <dimension ref="A1:H23"/>
  <sheetViews>
    <sheetView showGridLines="0" workbookViewId="0">
      <pane ySplit="3" topLeftCell="A4" activePane="bottomLeft" state="frozen"/>
      <selection activeCell="M14" sqref="M14"/>
      <selection pane="bottomLeft" sqref="A1:H1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501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127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128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129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130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131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132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133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134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135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136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137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138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139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140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141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142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143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144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145</v>
      </c>
      <c r="C22" s="4"/>
      <c r="D22" s="4"/>
      <c r="E22" s="4"/>
      <c r="F22" s="4"/>
      <c r="G22" s="4"/>
      <c r="H22" s="5"/>
    </row>
    <row r="23" spans="1:8" ht="20.100000000000001" customHeight="1" x14ac:dyDescent="0.3">
      <c r="A23" s="30" t="s">
        <v>494</v>
      </c>
      <c r="B23" s="31"/>
      <c r="C23" s="10">
        <f>SUM(C4:C22)</f>
        <v>0</v>
      </c>
      <c r="D23" s="10">
        <f>SUM(D4:D22)</f>
        <v>0</v>
      </c>
      <c r="E23" s="10">
        <f>SUM(E4:E22)</f>
        <v>0</v>
      </c>
      <c r="F23" s="10">
        <f>SUM(F4:F22)</f>
        <v>0</v>
      </c>
      <c r="G23" s="10">
        <f>SUM(G4:G22)</f>
        <v>0</v>
      </c>
      <c r="H23" s="11">
        <v>1</v>
      </c>
    </row>
  </sheetData>
  <mergeCells count="3">
    <mergeCell ref="A1:H1"/>
    <mergeCell ref="A2:H2"/>
    <mergeCell ref="A23:B23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6D2D-60CD-42FD-BA63-220A0626CBAA}">
  <dimension ref="A1:H17"/>
  <sheetViews>
    <sheetView showGridLines="0" workbookViewId="0">
      <pane ySplit="3" topLeftCell="A4" activePane="bottomLeft" state="frozen"/>
      <selection activeCell="M14" sqref="M14"/>
      <selection pane="bottomLeft" activeCell="A17" sqref="A17:B17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502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211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212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213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214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215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216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217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218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219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220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221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222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223</v>
      </c>
      <c r="C16" s="4"/>
      <c r="D16" s="4"/>
      <c r="E16" s="4"/>
      <c r="F16" s="4"/>
      <c r="G16" s="4"/>
      <c r="H16" s="5"/>
    </row>
    <row r="17" spans="1:8" ht="20.100000000000001" customHeight="1" x14ac:dyDescent="0.3">
      <c r="A17" s="30" t="s">
        <v>494</v>
      </c>
      <c r="B17" s="31"/>
      <c r="C17" s="10">
        <f>SUM(C4:C16)</f>
        <v>0</v>
      </c>
      <c r="D17" s="10">
        <f>SUM(D4:D16)</f>
        <v>0</v>
      </c>
      <c r="E17" s="10">
        <f>SUM(E4:E16)</f>
        <v>0</v>
      </c>
      <c r="F17" s="10">
        <f>SUM(F4:F16)</f>
        <v>0</v>
      </c>
      <c r="G17" s="10">
        <f>SUM(G4:G16)</f>
        <v>0</v>
      </c>
      <c r="H17" s="11">
        <v>1</v>
      </c>
    </row>
  </sheetData>
  <mergeCells count="3">
    <mergeCell ref="A1:H1"/>
    <mergeCell ref="A2:H2"/>
    <mergeCell ref="A17:B17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CDCA-39B1-40E1-8BFE-D4BFDD11C7E1}">
  <dimension ref="A1:H24"/>
  <sheetViews>
    <sheetView showGridLines="0" workbookViewId="0">
      <pane ySplit="3" topLeftCell="A4" activePane="bottomLeft" state="frozen"/>
      <selection activeCell="M14" sqref="M14"/>
      <selection pane="bottomLeft" activeCell="A24" sqref="A24:B24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503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288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289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290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291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292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293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294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295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296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297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298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299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300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301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302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303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304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305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306</v>
      </c>
      <c r="C22" s="4"/>
      <c r="D22" s="4"/>
      <c r="E22" s="4"/>
      <c r="F22" s="4"/>
      <c r="G22" s="4"/>
      <c r="H22" s="5"/>
    </row>
    <row r="23" spans="1:8" ht="17.100000000000001" customHeight="1" x14ac:dyDescent="0.3">
      <c r="A23" s="6">
        <v>20</v>
      </c>
      <c r="B23" s="7" t="s">
        <v>307</v>
      </c>
      <c r="C23" s="8"/>
      <c r="D23" s="8"/>
      <c r="E23" s="8"/>
      <c r="F23" s="8"/>
      <c r="G23" s="8"/>
      <c r="H23" s="9"/>
    </row>
    <row r="24" spans="1:8" ht="20.100000000000001" customHeight="1" x14ac:dyDescent="0.3">
      <c r="A24" s="30" t="s">
        <v>494</v>
      </c>
      <c r="B24" s="31"/>
      <c r="C24" s="10">
        <f>SUM(C4:C23)</f>
        <v>0</v>
      </c>
      <c r="D24" s="10">
        <f>SUM(D4:D23)</f>
        <v>0</v>
      </c>
      <c r="E24" s="10">
        <f>SUM(E4:E23)</f>
        <v>0</v>
      </c>
      <c r="F24" s="10">
        <f>SUM(F4:F23)</f>
        <v>0</v>
      </c>
      <c r="G24" s="10">
        <f>SUM(G4:G23)</f>
        <v>0</v>
      </c>
      <c r="H24" s="11">
        <v>1</v>
      </c>
    </row>
  </sheetData>
  <mergeCells count="3">
    <mergeCell ref="A1:H1"/>
    <mergeCell ref="A2:H2"/>
    <mergeCell ref="A24:B24"/>
  </mergeCells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A437-6847-425D-A51E-415400B2DC32}">
  <dimension ref="A1:H25"/>
  <sheetViews>
    <sheetView showGridLines="0" workbookViewId="0">
      <pane ySplit="3" topLeftCell="A4" activePane="bottomLeft" state="frozen"/>
      <selection activeCell="M14" sqref="M14"/>
      <selection pane="bottomLeft" activeCell="A25" sqref="A25:B25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504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359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360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361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362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363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364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365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366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367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368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369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370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371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372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37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373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374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375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376</v>
      </c>
      <c r="C22" s="4"/>
      <c r="D22" s="4"/>
      <c r="E22" s="4"/>
      <c r="F22" s="4"/>
      <c r="G22" s="4"/>
      <c r="H22" s="5"/>
    </row>
    <row r="23" spans="1:8" ht="17.100000000000001" customHeight="1" x14ac:dyDescent="0.3">
      <c r="A23" s="6">
        <v>20</v>
      </c>
      <c r="B23" s="7" t="s">
        <v>377</v>
      </c>
      <c r="C23" s="8"/>
      <c r="D23" s="8"/>
      <c r="E23" s="8"/>
      <c r="F23" s="8"/>
      <c r="G23" s="8"/>
      <c r="H23" s="9"/>
    </row>
    <row r="24" spans="1:8" ht="17.100000000000001" customHeight="1" x14ac:dyDescent="0.3">
      <c r="A24" s="2">
        <v>21</v>
      </c>
      <c r="B24" s="3" t="s">
        <v>378</v>
      </c>
      <c r="C24" s="4"/>
      <c r="D24" s="4"/>
      <c r="E24" s="4"/>
      <c r="F24" s="4"/>
      <c r="G24" s="4"/>
      <c r="H24" s="5"/>
    </row>
    <row r="25" spans="1:8" ht="20.100000000000001" customHeight="1" x14ac:dyDescent="0.3">
      <c r="A25" s="30" t="s">
        <v>494</v>
      </c>
      <c r="B25" s="31"/>
      <c r="C25" s="10">
        <f>SUM(C4:C24)</f>
        <v>0</v>
      </c>
      <c r="D25" s="10">
        <f>SUM(D4:D24)</f>
        <v>0</v>
      </c>
      <c r="E25" s="10">
        <f>SUM(E4:E24)</f>
        <v>0</v>
      </c>
      <c r="F25" s="10">
        <f>SUM(F4:F24)</f>
        <v>0</v>
      </c>
      <c r="G25" s="10">
        <f>SUM(G4:G24)</f>
        <v>0</v>
      </c>
      <c r="H25" s="11">
        <v>1</v>
      </c>
    </row>
  </sheetData>
  <mergeCells count="3">
    <mergeCell ref="A1:H1"/>
    <mergeCell ref="A2:H2"/>
    <mergeCell ref="A25:B25"/>
  </mergeCells>
  <phoneticPr fontId="1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4264-544A-4DB2-85C1-57365D001EBA}">
  <dimension ref="A1:H19"/>
  <sheetViews>
    <sheetView showGridLines="0" workbookViewId="0">
      <pane ySplit="3" topLeftCell="A4" activePane="bottomLeft" state="frozen"/>
      <selection activeCell="M14" sqref="M14"/>
      <selection pane="bottomLeft" activeCell="D25" sqref="D25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505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422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423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424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425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426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427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428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429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430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431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432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433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434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435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436</v>
      </c>
      <c r="C18" s="4"/>
      <c r="D18" s="4"/>
      <c r="E18" s="4"/>
      <c r="F18" s="4"/>
      <c r="G18" s="4"/>
      <c r="H18" s="5"/>
    </row>
    <row r="19" spans="1:8" ht="20.100000000000001" customHeight="1" x14ac:dyDescent="0.3">
      <c r="A19" s="30" t="s">
        <v>494</v>
      </c>
      <c r="B19" s="31"/>
      <c r="C19" s="10">
        <f>SUM(C4:C18)</f>
        <v>0</v>
      </c>
      <c r="D19" s="10">
        <f>SUM(D4:D18)</f>
        <v>0</v>
      </c>
      <c r="E19" s="10">
        <f>SUM(E4:E18)</f>
        <v>0</v>
      </c>
      <c r="F19" s="10">
        <f>SUM(F4:F18)</f>
        <v>0</v>
      </c>
      <c r="G19" s="10">
        <f>SUM(G4:G18)</f>
        <v>0</v>
      </c>
      <c r="H19" s="11">
        <v>1</v>
      </c>
    </row>
  </sheetData>
  <mergeCells count="3">
    <mergeCell ref="A1:H1"/>
    <mergeCell ref="A2:H2"/>
    <mergeCell ref="A19:B19"/>
  </mergeCells>
  <phoneticPr fontId="1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4AAB-BA1A-42FE-A578-23B7802D32E7}">
  <dimension ref="A1:H20"/>
  <sheetViews>
    <sheetView showGridLines="0" workbookViewId="0">
      <pane ySplit="3" topLeftCell="A4" activePane="bottomLeft" state="frozen"/>
      <selection activeCell="M14" sqref="M14"/>
      <selection pane="bottomLeft" activeCell="D24" sqref="D24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506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437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438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439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440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441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442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443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444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445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446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447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448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449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450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451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452</v>
      </c>
      <c r="C19" s="8"/>
      <c r="D19" s="8"/>
      <c r="E19" s="8"/>
      <c r="F19" s="8"/>
      <c r="G19" s="8"/>
      <c r="H19" s="9"/>
    </row>
    <row r="20" spans="1:8" ht="20.100000000000001" customHeight="1" x14ac:dyDescent="0.3">
      <c r="A20" s="30" t="s">
        <v>494</v>
      </c>
      <c r="B20" s="31"/>
      <c r="C20" s="10">
        <f>SUM(C4:C19)</f>
        <v>0</v>
      </c>
      <c r="D20" s="10">
        <f>SUM(D4:D19)</f>
        <v>0</v>
      </c>
      <c r="E20" s="10">
        <f>SUM(E4:E19)</f>
        <v>0</v>
      </c>
      <c r="F20" s="10">
        <f>SUM(F4:F19)</f>
        <v>0</v>
      </c>
      <c r="G20" s="10">
        <f>SUM(G4:G19)</f>
        <v>0</v>
      </c>
      <c r="H20" s="11">
        <v>1</v>
      </c>
    </row>
  </sheetData>
  <mergeCells count="3">
    <mergeCell ref="A1:H1"/>
    <mergeCell ref="A2:H2"/>
    <mergeCell ref="A20:B20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D4CF-AFDF-4F82-87EF-CAD0844F06E3}">
  <dimension ref="A1:H14"/>
  <sheetViews>
    <sheetView showGridLines="0" workbookViewId="0">
      <pane ySplit="3" topLeftCell="A4" activePane="bottomLeft" state="frozen"/>
      <selection activeCell="M14" sqref="M14"/>
      <selection pane="bottomLeft" activeCell="L22" sqref="L2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507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453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454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455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456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457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458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459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460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461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462</v>
      </c>
      <c r="C13" s="8"/>
      <c r="D13" s="8"/>
      <c r="E13" s="8"/>
      <c r="F13" s="8"/>
      <c r="G13" s="8"/>
      <c r="H13" s="9"/>
    </row>
    <row r="14" spans="1:8" ht="20.100000000000001" customHeight="1" x14ac:dyDescent="0.3">
      <c r="A14" s="30" t="s">
        <v>494</v>
      </c>
      <c r="B14" s="31"/>
      <c r="C14" s="10">
        <f>SUM(C4:C13)</f>
        <v>0</v>
      </c>
      <c r="D14" s="10">
        <f>SUM(D4:D13)</f>
        <v>0</v>
      </c>
      <c r="E14" s="10">
        <f>SUM(E4:E13)</f>
        <v>0</v>
      </c>
      <c r="F14" s="10">
        <f>SUM(F4:F13)</f>
        <v>0</v>
      </c>
      <c r="G14" s="10">
        <f>SUM(G4:G13)</f>
        <v>0</v>
      </c>
      <c r="H14" s="11">
        <v>1</v>
      </c>
    </row>
  </sheetData>
  <mergeCells count="3">
    <mergeCell ref="A1:H1"/>
    <mergeCell ref="A2:H2"/>
    <mergeCell ref="A14:B14"/>
  </mergeCells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39D6-8F54-4B42-A64E-1544F9C224BD}">
  <dimension ref="A1:H23"/>
  <sheetViews>
    <sheetView showGridLines="0" workbookViewId="0">
      <pane ySplit="3" topLeftCell="A4" activePane="bottomLeft" state="frozen"/>
      <selection activeCell="M14" sqref="M14"/>
      <selection pane="bottomLeft" activeCell="K23" sqref="K23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509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59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60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61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62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63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64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65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66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67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68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69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70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71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72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73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74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75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76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77</v>
      </c>
      <c r="C22" s="4"/>
      <c r="D22" s="4"/>
      <c r="E22" s="4"/>
      <c r="F22" s="4"/>
      <c r="G22" s="4"/>
      <c r="H22" s="5"/>
    </row>
    <row r="23" spans="1:8" ht="20.100000000000001" customHeight="1" x14ac:dyDescent="0.3">
      <c r="A23" s="30" t="s">
        <v>494</v>
      </c>
      <c r="B23" s="31"/>
      <c r="C23" s="10">
        <f>SUM(C4:C22)</f>
        <v>0</v>
      </c>
      <c r="D23" s="10">
        <f>SUM(D4:D22)</f>
        <v>0</v>
      </c>
      <c r="E23" s="10">
        <f>SUM(E4:E22)</f>
        <v>0</v>
      </c>
      <c r="F23" s="10">
        <f>SUM(F4:F22)</f>
        <v>0</v>
      </c>
      <c r="G23" s="10">
        <f>SUM(G4:G22)</f>
        <v>0</v>
      </c>
      <c r="H23" s="11">
        <v>1</v>
      </c>
    </row>
  </sheetData>
  <mergeCells count="3">
    <mergeCell ref="A1:H1"/>
    <mergeCell ref="A2:H2"/>
    <mergeCell ref="A23:B23"/>
  </mergeCells>
  <phoneticPr fontId="1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C672-5323-41C2-AAF2-6EED3F81183E}">
  <dimension ref="A1:H18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510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146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147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148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149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150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151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152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153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154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155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156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157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158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159</v>
      </c>
      <c r="C17" s="8"/>
      <c r="D17" s="8"/>
      <c r="E17" s="8"/>
      <c r="F17" s="8"/>
      <c r="G17" s="8"/>
      <c r="H17" s="9"/>
    </row>
    <row r="18" spans="1:8" ht="20.100000000000001" customHeight="1" x14ac:dyDescent="0.3">
      <c r="A18" s="30" t="s">
        <v>494</v>
      </c>
      <c r="B18" s="31"/>
      <c r="C18" s="10">
        <f>SUM(C4:C17)</f>
        <v>0</v>
      </c>
      <c r="D18" s="10">
        <f>SUM(D4:D17)</f>
        <v>0</v>
      </c>
      <c r="E18" s="10">
        <f>SUM(E4:E17)</f>
        <v>0</v>
      </c>
      <c r="F18" s="10">
        <f>SUM(F4:F17)</f>
        <v>0</v>
      </c>
      <c r="G18" s="10">
        <f>SUM(G4:G17)</f>
        <v>0</v>
      </c>
      <c r="H18" s="11">
        <v>1</v>
      </c>
    </row>
  </sheetData>
  <mergeCells count="3">
    <mergeCell ref="A1:H1"/>
    <mergeCell ref="A2:H2"/>
    <mergeCell ref="A18:B18"/>
  </mergeCells>
  <phoneticPr fontId="1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0964-4F91-4637-AAC4-3A240B412564}">
  <dimension ref="A1:H19"/>
  <sheetViews>
    <sheetView showGridLines="0" workbookViewId="0">
      <pane ySplit="3" topLeftCell="A4" activePane="bottomLeft" state="frozen"/>
      <selection activeCell="M14" sqref="M14"/>
      <selection pane="bottomLeft" activeCell="O17" sqref="O17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511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224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225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226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227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228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229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230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231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232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233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234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235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236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237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238</v>
      </c>
      <c r="C18" s="4"/>
      <c r="D18" s="4"/>
      <c r="E18" s="4"/>
      <c r="F18" s="4"/>
      <c r="G18" s="4"/>
      <c r="H18" s="5"/>
    </row>
    <row r="19" spans="1:8" ht="20.100000000000001" customHeight="1" x14ac:dyDescent="0.3">
      <c r="A19" s="30" t="s">
        <v>494</v>
      </c>
      <c r="B19" s="31"/>
      <c r="C19" s="10">
        <f>SUM(C4:C18)</f>
        <v>0</v>
      </c>
      <c r="D19" s="10">
        <f>SUM(D4:D18)</f>
        <v>0</v>
      </c>
      <c r="E19" s="10">
        <f>SUM(E4:E18)</f>
        <v>0</v>
      </c>
      <c r="F19" s="10">
        <f>SUM(F4:F18)</f>
        <v>0</v>
      </c>
      <c r="G19" s="10">
        <f>SUM(G4:G18)</f>
        <v>0</v>
      </c>
      <c r="H19" s="11">
        <v>1</v>
      </c>
    </row>
  </sheetData>
  <mergeCells count="3">
    <mergeCell ref="A1:H1"/>
    <mergeCell ref="A2:H2"/>
    <mergeCell ref="A19:B19"/>
  </mergeCells>
  <phoneticPr fontId="1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E510-A895-4841-B827-EB0624C448F8}">
  <dimension ref="A1:H19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512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308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309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310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311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312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313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314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315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316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317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318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319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320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321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322</v>
      </c>
      <c r="C18" s="4"/>
      <c r="D18" s="4"/>
      <c r="E18" s="4"/>
      <c r="F18" s="4"/>
      <c r="G18" s="4"/>
      <c r="H18" s="5"/>
    </row>
    <row r="19" spans="1:8" ht="20.100000000000001" customHeight="1" x14ac:dyDescent="0.3">
      <c r="A19" s="30" t="s">
        <v>494</v>
      </c>
      <c r="B19" s="31"/>
      <c r="C19" s="10">
        <f>SUM(C4:C18)</f>
        <v>0</v>
      </c>
      <c r="D19" s="10">
        <f>SUM(D4:D18)</f>
        <v>0</v>
      </c>
      <c r="E19" s="10">
        <f>SUM(E4:E18)</f>
        <v>0</v>
      </c>
      <c r="F19" s="10">
        <f>SUM(F4:F18)</f>
        <v>0</v>
      </c>
      <c r="G19" s="10">
        <f>SUM(G4:G18)</f>
        <v>0</v>
      </c>
      <c r="H19" s="11">
        <v>1</v>
      </c>
    </row>
  </sheetData>
  <mergeCells count="3">
    <mergeCell ref="A1:H1"/>
    <mergeCell ref="A2:H2"/>
    <mergeCell ref="A19:B19"/>
  </mergeCells>
  <phoneticPr fontId="1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0D9E-97E3-47B7-8679-E4D41251E3AF}">
  <dimension ref="A1:H20"/>
  <sheetViews>
    <sheetView showGridLines="0" workbookViewId="0">
      <pane ySplit="3" topLeftCell="A4" activePane="bottomLeft" state="frozen"/>
      <selection activeCell="M14" sqref="M14"/>
      <selection pane="bottomLeft" activeCell="K22" sqref="K2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513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379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380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381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382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383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384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385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386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387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388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389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390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391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392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393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394</v>
      </c>
      <c r="C19" s="8"/>
      <c r="D19" s="8"/>
      <c r="E19" s="8"/>
      <c r="F19" s="8"/>
      <c r="G19" s="8"/>
      <c r="H19" s="9"/>
    </row>
    <row r="20" spans="1:8" ht="20.100000000000001" customHeight="1" x14ac:dyDescent="0.3">
      <c r="A20" s="30" t="s">
        <v>494</v>
      </c>
      <c r="B20" s="31"/>
      <c r="C20" s="10">
        <f>SUM(C4:C19)</f>
        <v>0</v>
      </c>
      <c r="D20" s="10">
        <f>SUM(D4:D19)</f>
        <v>0</v>
      </c>
      <c r="E20" s="10">
        <f>SUM(E4:E19)</f>
        <v>0</v>
      </c>
      <c r="F20" s="10">
        <f>SUM(F4:F19)</f>
        <v>0</v>
      </c>
      <c r="G20" s="10">
        <f>SUM(G4:G19)</f>
        <v>0</v>
      </c>
      <c r="H20" s="11">
        <v>1</v>
      </c>
    </row>
  </sheetData>
  <mergeCells count="3">
    <mergeCell ref="A1:H1"/>
    <mergeCell ref="A2:H2"/>
    <mergeCell ref="A20:B20"/>
  </mergeCells>
  <phoneticPr fontId="1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25DC-E3AC-457E-9498-D259019CF4F0}">
  <dimension ref="A1:H18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514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78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79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80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81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82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83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84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85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86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87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88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89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90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91</v>
      </c>
      <c r="C17" s="8"/>
      <c r="D17" s="8"/>
      <c r="E17" s="8"/>
      <c r="F17" s="8"/>
      <c r="G17" s="8"/>
      <c r="H17" s="9"/>
    </row>
    <row r="18" spans="1:8" ht="20.100000000000001" customHeight="1" x14ac:dyDescent="0.3">
      <c r="A18" s="30" t="s">
        <v>494</v>
      </c>
      <c r="B18" s="31"/>
      <c r="C18" s="10">
        <f>SUM(C4:C17)</f>
        <v>0</v>
      </c>
      <c r="D18" s="10">
        <f>SUM(D4:D17)</f>
        <v>0</v>
      </c>
      <c r="E18" s="10">
        <f>SUM(E4:E17)</f>
        <v>0</v>
      </c>
      <c r="F18" s="10">
        <f>SUM(F4:F17)</f>
        <v>0</v>
      </c>
      <c r="G18" s="10">
        <f>SUM(G4:G17)</f>
        <v>0</v>
      </c>
      <c r="H18" s="11">
        <v>1</v>
      </c>
    </row>
  </sheetData>
  <mergeCells count="3">
    <mergeCell ref="A1:H1"/>
    <mergeCell ref="A2:H2"/>
    <mergeCell ref="A18:B18"/>
  </mergeCells>
  <phoneticPr fontId="1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3C0E-AA5E-4220-97CE-22AEDAD6DEA9}">
  <dimension ref="A1:H22"/>
  <sheetViews>
    <sheetView showGridLines="0" workbookViewId="0">
      <pane ySplit="3" topLeftCell="A4" activePane="bottomLeft" state="frozen"/>
      <selection activeCell="M14" sqref="M14"/>
      <selection pane="bottomLeft" activeCell="G27" sqref="G27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515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160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161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162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163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164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165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166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167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168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169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170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171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172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173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174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175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176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177</v>
      </c>
      <c r="C21" s="8"/>
      <c r="D21" s="8"/>
      <c r="E21" s="8"/>
      <c r="F21" s="8"/>
      <c r="G21" s="8"/>
      <c r="H21" s="9"/>
    </row>
    <row r="22" spans="1:8" ht="20.100000000000001" customHeight="1" x14ac:dyDescent="0.3">
      <c r="A22" s="30" t="s">
        <v>494</v>
      </c>
      <c r="B22" s="31"/>
      <c r="C22" s="10">
        <f>SUM(C4:C21)</f>
        <v>0</v>
      </c>
      <c r="D22" s="10">
        <f>SUM(D4:D21)</f>
        <v>0</v>
      </c>
      <c r="E22" s="10">
        <f>SUM(E4:E21)</f>
        <v>0</v>
      </c>
      <c r="F22" s="10">
        <f>SUM(F4:F21)</f>
        <v>0</v>
      </c>
      <c r="G22" s="10">
        <f>SUM(G4:G21)</f>
        <v>0</v>
      </c>
      <c r="H22" s="11">
        <v>1</v>
      </c>
    </row>
  </sheetData>
  <mergeCells count="3">
    <mergeCell ref="A1:H1"/>
    <mergeCell ref="A2:H2"/>
    <mergeCell ref="A22:B22"/>
  </mergeCells>
  <phoneticPr fontId="1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DC25-12AE-4C90-825A-C5CF03964C82}">
  <dimension ref="A1:H21"/>
  <sheetViews>
    <sheetView showGridLines="0" workbookViewId="0">
      <pane ySplit="3" topLeftCell="A4" activePane="bottomLeft" state="frozen"/>
      <selection activeCell="M14" sqref="M14"/>
      <selection pane="bottomLeft" activeCell="K23" sqref="K23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516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239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240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241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242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243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244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245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246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247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248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249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250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251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252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253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254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255</v>
      </c>
      <c r="C20" s="4"/>
      <c r="D20" s="4"/>
      <c r="E20" s="4"/>
      <c r="F20" s="4"/>
      <c r="G20" s="4"/>
      <c r="H20" s="5"/>
    </row>
    <row r="21" spans="1:8" ht="20.100000000000001" customHeight="1" x14ac:dyDescent="0.3">
      <c r="A21" s="30" t="s">
        <v>494</v>
      </c>
      <c r="B21" s="31"/>
      <c r="C21" s="10">
        <f>SUM(C4:C20)</f>
        <v>0</v>
      </c>
      <c r="D21" s="10">
        <f>SUM(D4:D20)</f>
        <v>0</v>
      </c>
      <c r="E21" s="10">
        <f>SUM(E4:E20)</f>
        <v>0</v>
      </c>
      <c r="F21" s="10">
        <f>SUM(F4:F20)</f>
        <v>0</v>
      </c>
      <c r="G21" s="10">
        <f>SUM(G4:G20)</f>
        <v>0</v>
      </c>
      <c r="H21" s="11">
        <v>1</v>
      </c>
    </row>
  </sheetData>
  <mergeCells count="3">
    <mergeCell ref="A1:H1"/>
    <mergeCell ref="A2:H2"/>
    <mergeCell ref="A21:B21"/>
  </mergeCells>
  <phoneticPr fontId="1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C74D-63F7-4F40-A1D1-F7241F5C8A9E}">
  <dimension ref="A1:H24"/>
  <sheetViews>
    <sheetView showGridLines="0" workbookViewId="0">
      <pane ySplit="3" topLeftCell="A4" activePane="bottomLeft" state="frozen"/>
      <selection activeCell="M14" sqref="M14"/>
      <selection pane="bottomLeft" activeCell="T30" sqref="T30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517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323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324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325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326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327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328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329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330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331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332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333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334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335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336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337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338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339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340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341</v>
      </c>
      <c r="C22" s="4"/>
      <c r="D22" s="4"/>
      <c r="E22" s="4"/>
      <c r="F22" s="4"/>
      <c r="G22" s="4"/>
      <c r="H22" s="5"/>
    </row>
    <row r="23" spans="1:8" ht="17.100000000000001" customHeight="1" x14ac:dyDescent="0.3">
      <c r="A23" s="6">
        <v>20</v>
      </c>
      <c r="B23" s="7" t="s">
        <v>342</v>
      </c>
      <c r="C23" s="8"/>
      <c r="D23" s="8"/>
      <c r="E23" s="8"/>
      <c r="F23" s="8"/>
      <c r="G23" s="8"/>
      <c r="H23" s="9"/>
    </row>
    <row r="24" spans="1:8" ht="20.100000000000001" customHeight="1" x14ac:dyDescent="0.3">
      <c r="A24" s="30" t="s">
        <v>494</v>
      </c>
      <c r="B24" s="31"/>
      <c r="C24" s="10">
        <f>SUM(C4:C23)</f>
        <v>0</v>
      </c>
      <c r="D24" s="10">
        <f>SUM(D4:D23)</f>
        <v>0</v>
      </c>
      <c r="E24" s="10">
        <f>SUM(E4:E23)</f>
        <v>0</v>
      </c>
      <c r="F24" s="10">
        <f>SUM(F4:F23)</f>
        <v>0</v>
      </c>
      <c r="G24" s="10">
        <f>SUM(G4:G23)</f>
        <v>0</v>
      </c>
      <c r="H24" s="11">
        <v>1</v>
      </c>
    </row>
  </sheetData>
  <mergeCells count="3">
    <mergeCell ref="A1:H1"/>
    <mergeCell ref="A2:H2"/>
    <mergeCell ref="A24:B24"/>
  </mergeCells>
  <phoneticPr fontId="1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F576-3340-49F5-AD1D-F4079E934F15}">
  <dimension ref="A1:H31"/>
  <sheetViews>
    <sheetView showGridLines="0" workbookViewId="0">
      <pane ySplit="3" topLeftCell="A1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518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395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396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397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398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399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400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401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402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403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404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405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406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407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408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409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410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411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412</v>
      </c>
      <c r="C21" s="8"/>
      <c r="D21" s="8"/>
      <c r="E21" s="8"/>
      <c r="F21" s="8"/>
      <c r="G21" s="8"/>
      <c r="H21" s="9"/>
    </row>
    <row r="22" spans="1:8" ht="17.100000000000001" customHeight="1" x14ac:dyDescent="0.3">
      <c r="A22" s="2">
        <v>19</v>
      </c>
      <c r="B22" s="3" t="s">
        <v>413</v>
      </c>
      <c r="C22" s="4"/>
      <c r="D22" s="4"/>
      <c r="E22" s="4"/>
      <c r="F22" s="4"/>
      <c r="G22" s="4"/>
      <c r="H22" s="5"/>
    </row>
    <row r="23" spans="1:8" ht="17.100000000000001" customHeight="1" x14ac:dyDescent="0.3">
      <c r="A23" s="6">
        <v>20</v>
      </c>
      <c r="B23" s="7" t="s">
        <v>414</v>
      </c>
      <c r="C23" s="8"/>
      <c r="D23" s="8"/>
      <c r="E23" s="8"/>
      <c r="F23" s="8"/>
      <c r="G23" s="8"/>
      <c r="H23" s="9"/>
    </row>
    <row r="24" spans="1:8" ht="17.100000000000001" customHeight="1" x14ac:dyDescent="0.3">
      <c r="A24" s="2">
        <v>21</v>
      </c>
      <c r="B24" s="3" t="s">
        <v>415</v>
      </c>
      <c r="C24" s="4"/>
      <c r="D24" s="4"/>
      <c r="E24" s="4"/>
      <c r="F24" s="4"/>
      <c r="G24" s="4"/>
      <c r="H24" s="5"/>
    </row>
    <row r="25" spans="1:8" ht="17.100000000000001" customHeight="1" x14ac:dyDescent="0.3">
      <c r="A25" s="6">
        <v>22</v>
      </c>
      <c r="B25" s="7" t="s">
        <v>416</v>
      </c>
      <c r="C25" s="8"/>
      <c r="D25" s="8"/>
      <c r="E25" s="8"/>
      <c r="F25" s="8"/>
      <c r="G25" s="8"/>
      <c r="H25" s="9"/>
    </row>
    <row r="26" spans="1:8" ht="17.100000000000001" customHeight="1" x14ac:dyDescent="0.3">
      <c r="A26" s="2">
        <v>23</v>
      </c>
      <c r="B26" s="3" t="s">
        <v>417</v>
      </c>
      <c r="C26" s="4"/>
      <c r="D26" s="4"/>
      <c r="E26" s="4"/>
      <c r="F26" s="4"/>
      <c r="G26" s="4"/>
      <c r="H26" s="5"/>
    </row>
    <row r="27" spans="1:8" ht="17.100000000000001" customHeight="1" x14ac:dyDescent="0.3">
      <c r="A27" s="6">
        <v>24</v>
      </c>
      <c r="B27" s="7" t="s">
        <v>418</v>
      </c>
      <c r="C27" s="8"/>
      <c r="D27" s="8"/>
      <c r="E27" s="8"/>
      <c r="F27" s="8"/>
      <c r="G27" s="8"/>
      <c r="H27" s="9"/>
    </row>
    <row r="28" spans="1:8" ht="17.100000000000001" customHeight="1" x14ac:dyDescent="0.3">
      <c r="A28" s="2">
        <v>25</v>
      </c>
      <c r="B28" s="3" t="s">
        <v>419</v>
      </c>
      <c r="C28" s="4"/>
      <c r="D28" s="4"/>
      <c r="E28" s="4"/>
      <c r="F28" s="4"/>
      <c r="G28" s="4"/>
      <c r="H28" s="5"/>
    </row>
    <row r="29" spans="1:8" ht="17.100000000000001" customHeight="1" x14ac:dyDescent="0.3">
      <c r="A29" s="6">
        <v>26</v>
      </c>
      <c r="B29" s="7" t="s">
        <v>420</v>
      </c>
      <c r="C29" s="8"/>
      <c r="D29" s="8"/>
      <c r="E29" s="8"/>
      <c r="F29" s="8"/>
      <c r="G29" s="8"/>
      <c r="H29" s="9"/>
    </row>
    <row r="30" spans="1:8" ht="17.100000000000001" customHeight="1" x14ac:dyDescent="0.3">
      <c r="A30" s="2">
        <v>27</v>
      </c>
      <c r="B30" s="3" t="s">
        <v>421</v>
      </c>
      <c r="C30" s="4"/>
      <c r="D30" s="4"/>
      <c r="E30" s="4"/>
      <c r="F30" s="4"/>
      <c r="G30" s="4"/>
      <c r="H30" s="5"/>
    </row>
    <row r="31" spans="1:8" ht="20.100000000000001" customHeight="1" x14ac:dyDescent="0.3">
      <c r="A31" s="30" t="s">
        <v>494</v>
      </c>
      <c r="B31" s="31"/>
      <c r="C31" s="10">
        <f>SUM(C4:C30)</f>
        <v>0</v>
      </c>
      <c r="D31" s="10">
        <f>SUM(D4:D30)</f>
        <v>0</v>
      </c>
      <c r="E31" s="10">
        <f>SUM(E4:E30)</f>
        <v>0</v>
      </c>
      <c r="F31" s="10">
        <f>SUM(F4:F30)</f>
        <v>0</v>
      </c>
      <c r="G31" s="10">
        <f>SUM(G4:G30)</f>
        <v>0</v>
      </c>
      <c r="H31" s="11">
        <v>1</v>
      </c>
    </row>
  </sheetData>
  <mergeCells count="3">
    <mergeCell ref="A1:H1"/>
    <mergeCell ref="A2:H2"/>
    <mergeCell ref="A31:B31"/>
  </mergeCells>
  <phoneticPr fontId="1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ED97-D9A8-4E3C-ACD2-5671999407E1}">
  <dimension ref="A1:H22"/>
  <sheetViews>
    <sheetView showGridLines="0" workbookViewId="0">
      <pane ySplit="3" topLeftCell="A4" activePane="bottomLeft" state="frozen"/>
      <selection activeCell="M14" sqref="M14"/>
      <selection pane="bottomLeft" activeCell="L23" sqref="L23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519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92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93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94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95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96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97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98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99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100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101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102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103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104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105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106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107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108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109</v>
      </c>
      <c r="C21" s="8"/>
      <c r="D21" s="8"/>
      <c r="E21" s="8"/>
      <c r="F21" s="8"/>
      <c r="G21" s="8"/>
      <c r="H21" s="9"/>
    </row>
    <row r="22" spans="1:8" ht="20.100000000000001" customHeight="1" x14ac:dyDescent="0.3">
      <c r="A22" s="30" t="s">
        <v>494</v>
      </c>
      <c r="B22" s="31"/>
      <c r="C22" s="10">
        <f>SUM(C4:C21)</f>
        <v>0</v>
      </c>
      <c r="D22" s="10">
        <f>SUM(D4:D21)</f>
        <v>0</v>
      </c>
      <c r="E22" s="10">
        <f>SUM(E4:E21)</f>
        <v>0</v>
      </c>
      <c r="F22" s="10">
        <f>SUM(F4:F21)</f>
        <v>0</v>
      </c>
      <c r="G22" s="10">
        <f>SUM(G4:G21)</f>
        <v>0</v>
      </c>
      <c r="H22" s="11">
        <v>1</v>
      </c>
    </row>
  </sheetData>
  <mergeCells count="3">
    <mergeCell ref="A1:H1"/>
    <mergeCell ref="A2:H2"/>
    <mergeCell ref="A22:B22"/>
  </mergeCells>
  <phoneticPr fontId="1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B6E7-3F09-4B9C-8C93-CD68AD5ED6F3}">
  <dimension ref="A1:H22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520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178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179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180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181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182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183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184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185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186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187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188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189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190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191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192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193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194</v>
      </c>
      <c r="C20" s="4"/>
      <c r="D20" s="4"/>
      <c r="E20" s="4"/>
      <c r="F20" s="4"/>
      <c r="G20" s="4"/>
      <c r="H20" s="5"/>
    </row>
    <row r="21" spans="1:8" ht="17.100000000000001" customHeight="1" x14ac:dyDescent="0.3">
      <c r="A21" s="6">
        <v>18</v>
      </c>
      <c r="B21" s="7" t="s">
        <v>195</v>
      </c>
      <c r="C21" s="8"/>
      <c r="D21" s="8"/>
      <c r="E21" s="8"/>
      <c r="F21" s="8"/>
      <c r="G21" s="8"/>
      <c r="H21" s="9"/>
    </row>
    <row r="22" spans="1:8" ht="20.100000000000001" customHeight="1" x14ac:dyDescent="0.3">
      <c r="A22" s="30" t="s">
        <v>494</v>
      </c>
      <c r="B22" s="31"/>
      <c r="C22" s="10">
        <f>SUM(C4:C21)</f>
        <v>0</v>
      </c>
      <c r="D22" s="10">
        <f>SUM(D4:D21)</f>
        <v>0</v>
      </c>
      <c r="E22" s="10">
        <f>SUM(E4:E21)</f>
        <v>0</v>
      </c>
      <c r="F22" s="10">
        <f>SUM(F4:F21)</f>
        <v>0</v>
      </c>
      <c r="G22" s="10">
        <f>SUM(G4:G21)</f>
        <v>0</v>
      </c>
      <c r="H22" s="11">
        <v>1</v>
      </c>
    </row>
  </sheetData>
  <mergeCells count="3">
    <mergeCell ref="A1:H1"/>
    <mergeCell ref="A2:H2"/>
    <mergeCell ref="A22:B22"/>
  </mergeCells>
  <phoneticPr fontId="1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ED09-4A4A-4EFB-AD25-597C7092CF98}">
  <dimension ref="A1:H20"/>
  <sheetViews>
    <sheetView showGridLines="0" workbookViewId="0">
      <pane ySplit="3" topLeftCell="A4" activePane="bottomLeft" state="frozen"/>
      <selection activeCell="M14" sqref="M14"/>
      <selection pane="bottomLeft" activeCell="H21" sqref="H21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521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256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257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258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259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260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261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262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263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264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265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266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267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268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269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270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271</v>
      </c>
      <c r="C19" s="8"/>
      <c r="D19" s="8"/>
      <c r="E19" s="8"/>
      <c r="F19" s="8"/>
      <c r="G19" s="8"/>
      <c r="H19" s="9"/>
    </row>
    <row r="20" spans="1:8" ht="20.100000000000001" customHeight="1" x14ac:dyDescent="0.3">
      <c r="A20" s="30" t="s">
        <v>494</v>
      </c>
      <c r="B20" s="31"/>
      <c r="C20" s="10">
        <f>SUM(C4:C19)</f>
        <v>0</v>
      </c>
      <c r="D20" s="10">
        <f>SUM(D4:D19)</f>
        <v>0</v>
      </c>
      <c r="E20" s="10">
        <f>SUM(E4:E19)</f>
        <v>0</v>
      </c>
      <c r="F20" s="10">
        <f>SUM(F4:F19)</f>
        <v>0</v>
      </c>
      <c r="G20" s="10">
        <f>SUM(G4:G19)</f>
        <v>0</v>
      </c>
      <c r="H20" s="11">
        <v>1</v>
      </c>
    </row>
  </sheetData>
  <mergeCells count="3">
    <mergeCell ref="A1:H1"/>
    <mergeCell ref="A2:H2"/>
    <mergeCell ref="A20:B20"/>
  </mergeCells>
  <phoneticPr fontId="1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C546-C210-45F1-96E3-3681AB611199}">
  <dimension ref="A1:H20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522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343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344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345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346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347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348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349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350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351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352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353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354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355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356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357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358</v>
      </c>
      <c r="C19" s="8"/>
      <c r="D19" s="8"/>
      <c r="E19" s="8"/>
      <c r="F19" s="8"/>
      <c r="G19" s="8"/>
      <c r="H19" s="9"/>
    </row>
    <row r="20" spans="1:8" ht="20.100000000000001" customHeight="1" x14ac:dyDescent="0.3">
      <c r="A20" s="30" t="s">
        <v>494</v>
      </c>
      <c r="B20" s="31"/>
      <c r="C20" s="10">
        <f>SUM(C4:C19)</f>
        <v>0</v>
      </c>
      <c r="D20" s="10">
        <f>SUM(D4:D19)</f>
        <v>0</v>
      </c>
      <c r="E20" s="10">
        <f>SUM(E4:E19)</f>
        <v>0</v>
      </c>
      <c r="F20" s="10">
        <f>SUM(F4:F19)</f>
        <v>0</v>
      </c>
      <c r="G20" s="10">
        <f>SUM(G4:G19)</f>
        <v>0</v>
      </c>
      <c r="H20" s="11">
        <v>1</v>
      </c>
    </row>
  </sheetData>
  <mergeCells count="3">
    <mergeCell ref="A1:H1"/>
    <mergeCell ref="A2:H2"/>
    <mergeCell ref="A20:B20"/>
  </mergeCells>
  <phoneticPr fontId="1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0A48-1C87-4E4C-A49E-F6009E9044C3}">
  <dimension ref="A1:H21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defaultRowHeight="16.5" x14ac:dyDescent="0.3"/>
  <cols>
    <col min="1" max="1" width="5" customWidth="1"/>
    <col min="2" max="2" width="12.375" bestFit="1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523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110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111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112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113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114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115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116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117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118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119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120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121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122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123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124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125</v>
      </c>
      <c r="C19" s="8"/>
      <c r="D19" s="8"/>
      <c r="E19" s="8"/>
      <c r="F19" s="8"/>
      <c r="G19" s="8"/>
      <c r="H19" s="9"/>
    </row>
    <row r="20" spans="1:8" ht="17.100000000000001" customHeight="1" x14ac:dyDescent="0.3">
      <c r="A20" s="2">
        <v>17</v>
      </c>
      <c r="B20" s="3" t="s">
        <v>126</v>
      </c>
      <c r="C20" s="4"/>
      <c r="D20" s="4"/>
      <c r="E20" s="4"/>
      <c r="F20" s="4"/>
      <c r="G20" s="4"/>
      <c r="H20" s="5"/>
    </row>
    <row r="21" spans="1:8" ht="20.100000000000001" customHeight="1" x14ac:dyDescent="0.3">
      <c r="A21" s="30" t="s">
        <v>494</v>
      </c>
      <c r="B21" s="31"/>
      <c r="C21" s="10">
        <f>SUM(C4:C20)</f>
        <v>0</v>
      </c>
      <c r="D21" s="10">
        <f>SUM(D4:D20)</f>
        <v>0</v>
      </c>
      <c r="E21" s="10">
        <f>SUM(E4:E20)</f>
        <v>0</v>
      </c>
      <c r="F21" s="10">
        <f>SUM(F4:F20)</f>
        <v>0</v>
      </c>
      <c r="G21" s="10">
        <f>SUM(G4:G20)</f>
        <v>0</v>
      </c>
      <c r="H21" s="11">
        <v>1</v>
      </c>
    </row>
  </sheetData>
  <mergeCells count="3">
    <mergeCell ref="A1:H1"/>
    <mergeCell ref="A2:H2"/>
    <mergeCell ref="A21:B21"/>
  </mergeCells>
  <phoneticPr fontId="1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4801-6C10-4029-80A3-CE6CC552E948}">
  <dimension ref="A1:H19"/>
  <sheetViews>
    <sheetView showGridLines="0" workbookViewId="0">
      <pane ySplit="3" topLeftCell="A4" activePane="bottomLeft" state="frozen"/>
      <selection activeCell="M14" sqref="M14"/>
      <selection pane="bottomLeft" activeCell="L26" sqref="L26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524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196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197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198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199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200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201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202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203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204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205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206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207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208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209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210</v>
      </c>
      <c r="C18" s="4"/>
      <c r="D18" s="4"/>
      <c r="E18" s="4"/>
      <c r="F18" s="4"/>
      <c r="G18" s="4"/>
      <c r="H18" s="5"/>
    </row>
    <row r="19" spans="1:8" ht="20.100000000000001" customHeight="1" x14ac:dyDescent="0.3">
      <c r="A19" s="30" t="s">
        <v>494</v>
      </c>
      <c r="B19" s="31"/>
      <c r="C19" s="10">
        <f>SUM(C4:C18)</f>
        <v>0</v>
      </c>
      <c r="D19" s="10">
        <f>SUM(D4:D18)</f>
        <v>0</v>
      </c>
      <c r="E19" s="10">
        <f>SUM(E4:E18)</f>
        <v>0</v>
      </c>
      <c r="F19" s="10">
        <f>SUM(F4:F18)</f>
        <v>0</v>
      </c>
      <c r="G19" s="10">
        <f>SUM(G4:G18)</f>
        <v>0</v>
      </c>
      <c r="H19" s="11">
        <v>1</v>
      </c>
    </row>
  </sheetData>
  <mergeCells count="3">
    <mergeCell ref="A1:H1"/>
    <mergeCell ref="A2:H2"/>
    <mergeCell ref="A19:B19"/>
  </mergeCells>
  <phoneticPr fontId="1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FC99-3F8A-4D89-9BC5-B8FB97648EFF}">
  <dimension ref="A1:H20"/>
  <sheetViews>
    <sheetView showGridLines="0" tabSelected="1" workbookViewId="0">
      <pane ySplit="3" topLeftCell="A4" activePane="bottomLeft" state="frozen"/>
      <selection activeCell="M14" sqref="M14"/>
      <selection pane="bottomLeft" activeCell="N30" sqref="N30"/>
    </sheetView>
  </sheetViews>
  <sheetFormatPr defaultRowHeight="16.5" x14ac:dyDescent="0.3"/>
  <cols>
    <col min="1" max="1" width="5" customWidth="1"/>
    <col min="2" max="2" width="10" customWidth="1"/>
    <col min="3" max="4" width="13" customWidth="1"/>
    <col min="5" max="5" width="12" customWidth="1"/>
    <col min="6" max="6" width="10" customWidth="1"/>
    <col min="7" max="7" width="8" customWidth="1"/>
    <col min="8" max="8" width="11" customWidth="1"/>
  </cols>
  <sheetData>
    <row r="1" spans="1:8" ht="32.1" customHeight="1" x14ac:dyDescent="0.3">
      <c r="A1" s="23" t="s">
        <v>508</v>
      </c>
      <c r="B1" s="24"/>
      <c r="C1" s="24"/>
      <c r="D1" s="24"/>
      <c r="E1" s="24"/>
      <c r="F1" s="24"/>
      <c r="G1" s="24"/>
      <c r="H1" s="24"/>
    </row>
    <row r="2" spans="1:8" ht="15.95" customHeight="1" x14ac:dyDescent="0.3">
      <c r="A2" s="25" t="s">
        <v>497</v>
      </c>
      <c r="B2" s="24"/>
      <c r="C2" s="24"/>
      <c r="D2" s="24"/>
      <c r="E2" s="24"/>
      <c r="F2" s="24"/>
      <c r="G2" s="24"/>
      <c r="H2" s="24"/>
    </row>
    <row r="3" spans="1:8" ht="27.95" customHeight="1" x14ac:dyDescent="0.3">
      <c r="A3" s="1" t="s">
        <v>1</v>
      </c>
      <c r="B3" s="1" t="s">
        <v>493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496</v>
      </c>
    </row>
    <row r="4" spans="1:8" ht="17.100000000000001" customHeight="1" x14ac:dyDescent="0.3">
      <c r="A4" s="2">
        <v>1</v>
      </c>
      <c r="B4" s="3" t="s">
        <v>272</v>
      </c>
      <c r="C4" s="4"/>
      <c r="D4" s="4"/>
      <c r="E4" s="4"/>
      <c r="F4" s="4"/>
      <c r="G4" s="4"/>
      <c r="H4" s="5"/>
    </row>
    <row r="5" spans="1:8" ht="17.100000000000001" customHeight="1" x14ac:dyDescent="0.3">
      <c r="A5" s="6">
        <v>2</v>
      </c>
      <c r="B5" s="7" t="s">
        <v>273</v>
      </c>
      <c r="C5" s="8"/>
      <c r="D5" s="8"/>
      <c r="E5" s="8"/>
      <c r="F5" s="8"/>
      <c r="G5" s="8"/>
      <c r="H5" s="9"/>
    </row>
    <row r="6" spans="1:8" ht="17.100000000000001" customHeight="1" x14ac:dyDescent="0.3">
      <c r="A6" s="2">
        <v>3</v>
      </c>
      <c r="B6" s="3" t="s">
        <v>274</v>
      </c>
      <c r="C6" s="4"/>
      <c r="D6" s="4"/>
      <c r="E6" s="4"/>
      <c r="F6" s="4"/>
      <c r="G6" s="4"/>
      <c r="H6" s="5"/>
    </row>
    <row r="7" spans="1:8" ht="17.100000000000001" customHeight="1" x14ac:dyDescent="0.3">
      <c r="A7" s="6">
        <v>4</v>
      </c>
      <c r="B7" s="7" t="s">
        <v>275</v>
      </c>
      <c r="C7" s="8"/>
      <c r="D7" s="8"/>
      <c r="E7" s="8"/>
      <c r="F7" s="8"/>
      <c r="G7" s="8"/>
      <c r="H7" s="9"/>
    </row>
    <row r="8" spans="1:8" ht="17.100000000000001" customHeight="1" x14ac:dyDescent="0.3">
      <c r="A8" s="2">
        <v>5</v>
      </c>
      <c r="B8" s="3" t="s">
        <v>276</v>
      </c>
      <c r="C8" s="4"/>
      <c r="D8" s="4"/>
      <c r="E8" s="4"/>
      <c r="F8" s="4"/>
      <c r="G8" s="4"/>
      <c r="H8" s="5"/>
    </row>
    <row r="9" spans="1:8" ht="17.100000000000001" customHeight="1" x14ac:dyDescent="0.3">
      <c r="A9" s="6">
        <v>6</v>
      </c>
      <c r="B9" s="7" t="s">
        <v>277</v>
      </c>
      <c r="C9" s="8"/>
      <c r="D9" s="8"/>
      <c r="E9" s="8"/>
      <c r="F9" s="8"/>
      <c r="G9" s="8"/>
      <c r="H9" s="9"/>
    </row>
    <row r="10" spans="1:8" ht="17.100000000000001" customHeight="1" x14ac:dyDescent="0.3">
      <c r="A10" s="2">
        <v>7</v>
      </c>
      <c r="B10" s="3" t="s">
        <v>278</v>
      </c>
      <c r="C10" s="4"/>
      <c r="D10" s="4"/>
      <c r="E10" s="4"/>
      <c r="F10" s="4"/>
      <c r="G10" s="4"/>
      <c r="H10" s="5"/>
    </row>
    <row r="11" spans="1:8" ht="17.100000000000001" customHeight="1" x14ac:dyDescent="0.3">
      <c r="A11" s="6">
        <v>8</v>
      </c>
      <c r="B11" s="7" t="s">
        <v>279</v>
      </c>
      <c r="C11" s="8"/>
      <c r="D11" s="8"/>
      <c r="E11" s="8"/>
      <c r="F11" s="8"/>
      <c r="G11" s="8"/>
      <c r="H11" s="9"/>
    </row>
    <row r="12" spans="1:8" ht="17.100000000000001" customHeight="1" x14ac:dyDescent="0.3">
      <c r="A12" s="2">
        <v>9</v>
      </c>
      <c r="B12" s="3" t="s">
        <v>280</v>
      </c>
      <c r="C12" s="4"/>
      <c r="D12" s="4"/>
      <c r="E12" s="4"/>
      <c r="F12" s="4"/>
      <c r="G12" s="4"/>
      <c r="H12" s="5"/>
    </row>
    <row r="13" spans="1:8" ht="17.100000000000001" customHeight="1" x14ac:dyDescent="0.3">
      <c r="A13" s="6">
        <v>10</v>
      </c>
      <c r="B13" s="7" t="s">
        <v>281</v>
      </c>
      <c r="C13" s="8"/>
      <c r="D13" s="8"/>
      <c r="E13" s="8"/>
      <c r="F13" s="8"/>
      <c r="G13" s="8"/>
      <c r="H13" s="9"/>
    </row>
    <row r="14" spans="1:8" ht="17.100000000000001" customHeight="1" x14ac:dyDescent="0.3">
      <c r="A14" s="2">
        <v>11</v>
      </c>
      <c r="B14" s="3" t="s">
        <v>282</v>
      </c>
      <c r="C14" s="4"/>
      <c r="D14" s="4"/>
      <c r="E14" s="4"/>
      <c r="F14" s="4"/>
      <c r="G14" s="4"/>
      <c r="H14" s="5"/>
    </row>
    <row r="15" spans="1:8" ht="17.100000000000001" customHeight="1" x14ac:dyDescent="0.3">
      <c r="A15" s="6">
        <v>12</v>
      </c>
      <c r="B15" s="7" t="s">
        <v>283</v>
      </c>
      <c r="C15" s="8"/>
      <c r="D15" s="8"/>
      <c r="E15" s="8"/>
      <c r="F15" s="8"/>
      <c r="G15" s="8"/>
      <c r="H15" s="9"/>
    </row>
    <row r="16" spans="1:8" ht="17.100000000000001" customHeight="1" x14ac:dyDescent="0.3">
      <c r="A16" s="2">
        <v>13</v>
      </c>
      <c r="B16" s="3" t="s">
        <v>284</v>
      </c>
      <c r="C16" s="4"/>
      <c r="D16" s="4"/>
      <c r="E16" s="4"/>
      <c r="F16" s="4"/>
      <c r="G16" s="4"/>
      <c r="H16" s="5"/>
    </row>
    <row r="17" spans="1:8" ht="17.100000000000001" customHeight="1" x14ac:dyDescent="0.3">
      <c r="A17" s="6">
        <v>14</v>
      </c>
      <c r="B17" s="7" t="s">
        <v>285</v>
      </c>
      <c r="C17" s="8"/>
      <c r="D17" s="8"/>
      <c r="E17" s="8"/>
      <c r="F17" s="8"/>
      <c r="G17" s="8"/>
      <c r="H17" s="9"/>
    </row>
    <row r="18" spans="1:8" ht="17.100000000000001" customHeight="1" x14ac:dyDescent="0.3">
      <c r="A18" s="2">
        <v>15</v>
      </c>
      <c r="B18" s="3" t="s">
        <v>286</v>
      </c>
      <c r="C18" s="4"/>
      <c r="D18" s="4"/>
      <c r="E18" s="4"/>
      <c r="F18" s="4"/>
      <c r="G18" s="4"/>
      <c r="H18" s="5"/>
    </row>
    <row r="19" spans="1:8" ht="17.100000000000001" customHeight="1" x14ac:dyDescent="0.3">
      <c r="A19" s="6">
        <v>16</v>
      </c>
      <c r="B19" s="7" t="s">
        <v>287</v>
      </c>
      <c r="C19" s="8"/>
      <c r="D19" s="8"/>
      <c r="E19" s="8"/>
      <c r="F19" s="8"/>
      <c r="G19" s="8"/>
      <c r="H19" s="9"/>
    </row>
    <row r="20" spans="1:8" ht="20.100000000000001" customHeight="1" x14ac:dyDescent="0.3">
      <c r="A20" s="30" t="s">
        <v>494</v>
      </c>
      <c r="B20" s="31"/>
      <c r="C20" s="10">
        <f>SUM(C4:C19)</f>
        <v>0</v>
      </c>
      <c r="D20" s="10">
        <f>SUM(D4:D19)</f>
        <v>0</v>
      </c>
      <c r="E20" s="10">
        <f>SUM(E4:E19)</f>
        <v>0</v>
      </c>
      <c r="F20" s="10">
        <f>SUM(F4:F19)</f>
        <v>0</v>
      </c>
      <c r="G20" s="10">
        <f>SUM(G4:G19)</f>
        <v>0</v>
      </c>
      <c r="H20" s="11">
        <v>1</v>
      </c>
    </row>
  </sheetData>
  <mergeCells count="3">
    <mergeCell ref="A1:H1"/>
    <mergeCell ref="A2:H2"/>
    <mergeCell ref="A20:B20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구별 요약</vt:lpstr>
      <vt:lpstr>구별 순위</vt:lpstr>
      <vt:lpstr>데이터 현황</vt:lpstr>
      <vt:lpstr>강남구</vt:lpstr>
      <vt:lpstr>강동구</vt:lpstr>
      <vt:lpstr>강북구</vt:lpstr>
      <vt:lpstr>강서구</vt:lpstr>
      <vt:lpstr>관악구</vt:lpstr>
      <vt:lpstr>광진구</vt:lpstr>
      <vt:lpstr>구로구</vt:lpstr>
      <vt:lpstr>금천구</vt:lpstr>
      <vt:lpstr>노원구</vt:lpstr>
      <vt:lpstr>도봉구</vt:lpstr>
      <vt:lpstr>동대문구</vt:lpstr>
      <vt:lpstr>동작구</vt:lpstr>
      <vt:lpstr>마포구</vt:lpstr>
      <vt:lpstr>서대문구</vt:lpstr>
      <vt:lpstr>서초구</vt:lpstr>
      <vt:lpstr>성동구</vt:lpstr>
      <vt:lpstr>성북구</vt:lpstr>
      <vt:lpstr>송파구</vt:lpstr>
      <vt:lpstr>양천구</vt:lpstr>
      <vt:lpstr>영등포구</vt:lpstr>
      <vt:lpstr>용산구</vt:lpstr>
      <vt:lpstr>은평구</vt:lpstr>
      <vt:lpstr>종로구</vt:lpstr>
      <vt:lpstr>중구</vt:lpstr>
      <vt:lpstr>중랑구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 인비트윈애드</cp:lastModifiedBy>
  <dcterms:created xsi:type="dcterms:W3CDTF">2026-03-18T13:15:51Z</dcterms:created>
  <dcterms:modified xsi:type="dcterms:W3CDTF">2026-03-19T08:15:56Z</dcterms:modified>
</cp:coreProperties>
</file>